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別サマリー" state="visible" r:id="rId4"/>
    <sheet sheetId="2" name="収支データ" state="visible" r:id="rId5"/>
    <sheet sheetId="3" name="予算" state="visible" r:id="rId6"/>
    <sheet sheetId="4" name="預金口座" state="visible" r:id="rId7"/>
    <sheet sheetId="5" name="口座明細" state="visible" r:id="rId8"/>
    <sheet sheetId="6" name="設定" state="visible" r:id="rId9"/>
    <sheet sheetId="7" name="集計" state="visible" r:id="rId10"/>
    <sheet sheetId="8" name="グラフ" state="visible" r:id="rId11"/>
  </sheets>
  <calcPr calcId="171027"/>
</workbook>
</file>

<file path=xl/sharedStrings.xml><?xml version="1.0" encoding="utf-8"?>
<sst xmlns="http://schemas.openxmlformats.org/spreadsheetml/2006/main" count="936" uniqueCount="144">
  <si>
    <t>年月</t>
  </si>
  <si>
    <t>収入合計</t>
  </si>
  <si>
    <t>支出合計</t>
  </si>
  <si>
    <t>収支</t>
  </si>
  <si>
    <t>2026-08</t>
  </si>
  <si>
    <t>日付</t>
  </si>
  <si>
    <t>種別</t>
  </si>
  <si>
    <t>カテゴリ</t>
  </si>
  <si>
    <t>金額</t>
  </si>
  <si>
    <t>メモ</t>
  </si>
  <si>
    <t>大区分</t>
  </si>
  <si>
    <t>集計フラグ</t>
  </si>
  <si>
    <t>支出</t>
  </si>
  <si>
    <t>惣菜・弁当</t>
  </si>
  <si>
    <t/>
  </si>
  <si>
    <t>飲料</t>
  </si>
  <si>
    <t>日用品</t>
  </si>
  <si>
    <t>猫</t>
  </si>
  <si>
    <t>食費</t>
  </si>
  <si>
    <t>乾燥機</t>
  </si>
  <si>
    <t>収入</t>
  </si>
  <si>
    <t>生活費</t>
  </si>
  <si>
    <t>小より</t>
  </si>
  <si>
    <t>菓子</t>
  </si>
  <si>
    <t>調味料</t>
  </si>
  <si>
    <t>その他</t>
  </si>
  <si>
    <t>イオンカードで支払い（仕事用の本）</t>
  </si>
  <si>
    <t>娯楽</t>
  </si>
  <si>
    <t>イオンカードで支払い</t>
  </si>
  <si>
    <t>交際費</t>
  </si>
  <si>
    <t>お中元（郁登・道田・秀子）</t>
  </si>
  <si>
    <t>重箱と巻き寿司セット</t>
  </si>
  <si>
    <t>給与（多）より / 新聞</t>
  </si>
  <si>
    <t>大きいより / ガソリン代</t>
  </si>
  <si>
    <t>保険</t>
  </si>
  <si>
    <t>大きいより</t>
  </si>
  <si>
    <t>OCS（サンエー）</t>
  </si>
  <si>
    <t>OCS（Amazon）</t>
  </si>
  <si>
    <t>OCS（カインズ）</t>
  </si>
  <si>
    <t>OCS（サプリ）</t>
  </si>
  <si>
    <t>光熱費</t>
  </si>
  <si>
    <t>OCS（電力）</t>
  </si>
  <si>
    <t>OCS（ラジコ）</t>
  </si>
  <si>
    <t>OCS</t>
  </si>
  <si>
    <t>OCS（OLLAMA）</t>
  </si>
  <si>
    <t>通信費</t>
  </si>
  <si>
    <t>OCS（Google）</t>
  </si>
  <si>
    <t>OCS（ABEMA）</t>
  </si>
  <si>
    <t>OCS（IIJmio）</t>
  </si>
  <si>
    <t>OCS（U-NEXT）</t>
  </si>
  <si>
    <t>海邦（小）OCS</t>
  </si>
  <si>
    <t>小より / オリコ（車ローン）</t>
  </si>
  <si>
    <t>給与（多）より / vpass</t>
  </si>
  <si>
    <t>NHK</t>
  </si>
  <si>
    <t>小より / KDDI</t>
  </si>
  <si>
    <t>お中元（さゆり・るーみー）</t>
  </si>
  <si>
    <t>水道料金</t>
  </si>
  <si>
    <t>医療費</t>
  </si>
  <si>
    <t>聡に</t>
  </si>
  <si>
    <t>海邦（大）より（旧盆で）</t>
  </si>
  <si>
    <t>海銀（多）より</t>
  </si>
  <si>
    <t>アクセサリー修理</t>
  </si>
  <si>
    <t>その他収入</t>
  </si>
  <si>
    <t>Hotto Motto</t>
  </si>
  <si>
    <t>のど飴</t>
  </si>
  <si>
    <t>小さいより/生活費</t>
  </si>
  <si>
    <t>温泉</t>
  </si>
  <si>
    <t>お義母さん達と外食等</t>
  </si>
  <si>
    <t>マッサージ</t>
  </si>
  <si>
    <t>車保険代の残り</t>
  </si>
  <si>
    <t>ケンタッキー・タコス</t>
  </si>
  <si>
    <t>サプリ</t>
  </si>
  <si>
    <t>住居</t>
  </si>
  <si>
    <t>自治会費</t>
  </si>
  <si>
    <t>イオンカードで支払い分</t>
  </si>
  <si>
    <t>新聞</t>
  </si>
  <si>
    <t>4０万移した残り</t>
  </si>
  <si>
    <t>大きいより / 車検・車保険</t>
  </si>
  <si>
    <t>Hotto Motto・ファミマ</t>
  </si>
  <si>
    <t>エディオンカードで支払い分（水フィルタ–）</t>
  </si>
  <si>
    <t>エディオンカードで支払い（水フィルタ–）</t>
  </si>
  <si>
    <t>公共料金</t>
  </si>
  <si>
    <t>大きいより / 固定資産税・市県民税</t>
  </si>
  <si>
    <t>カード引落</t>
  </si>
  <si>
    <t>大きいより / マルチVISA</t>
  </si>
  <si>
    <t>予算額</t>
  </si>
  <si>
    <t>ラベル</t>
  </si>
  <si>
    <t>口座名</t>
  </si>
  <si>
    <t>銀行名</t>
  </si>
  <si>
    <t>口座種別</t>
  </si>
  <si>
    <t>現在残高</t>
  </si>
  <si>
    <t>初期残高</t>
  </si>
  <si>
    <t>大きい</t>
  </si>
  <si>
    <t>海邦（大）</t>
  </si>
  <si>
    <t>普通</t>
  </si>
  <si>
    <t>小</t>
  </si>
  <si>
    <t>海邦（小）</t>
  </si>
  <si>
    <t>琉銀（聡）</t>
  </si>
  <si>
    <t>琉球（聡）</t>
  </si>
  <si>
    <t>会社</t>
  </si>
  <si>
    <t>海邦（会社）</t>
  </si>
  <si>
    <t>多</t>
  </si>
  <si>
    <t>琉球（多）</t>
  </si>
  <si>
    <t>給与（多）</t>
  </si>
  <si>
    <t>海邦（多）</t>
  </si>
  <si>
    <t>出金</t>
  </si>
  <si>
    <t>入金</t>
  </si>
  <si>
    <t>残高</t>
  </si>
  <si>
    <t>摘要</t>
  </si>
  <si>
    <t>相手口座</t>
  </si>
  <si>
    <t>社会保険</t>
  </si>
  <si>
    <t>家賃</t>
  </si>
  <si>
    <t>ガソリン代</t>
  </si>
  <si>
    <t>オリコ（車ローン）</t>
  </si>
  <si>
    <t>vpass</t>
  </si>
  <si>
    <t>KDDI</t>
  </si>
  <si>
    <t>振込</t>
  </si>
  <si>
    <t>琉銀（多）に140000　生活費に60000</t>
  </si>
  <si>
    <t>海銀大きいより</t>
  </si>
  <si>
    <t>利息</t>
  </si>
  <si>
    <t>車検・車保険</t>
  </si>
  <si>
    <t>振込入金</t>
  </si>
  <si>
    <t>年金</t>
  </si>
  <si>
    <t>給与</t>
  </si>
  <si>
    <t>琉石</t>
  </si>
  <si>
    <t>固定資産税・市県民税</t>
  </si>
  <si>
    <t>マルチVISA</t>
  </si>
  <si>
    <t>科目</t>
  </si>
  <si>
    <t>集計対象</t>
  </si>
  <si>
    <t>食料品</t>
  </si>
  <si>
    <t>生活用品</t>
  </si>
  <si>
    <t>ペット</t>
  </si>
  <si>
    <t>娯楽・交際</t>
  </si>
  <si>
    <t>医療・保険</t>
  </si>
  <si>
    <t>公共・住居</t>
  </si>
  <si>
    <t>通信・情報</t>
  </si>
  <si>
    <t>金融</t>
  </si>
  <si>
    <t>大区分リスト (参考):</t>
  </si>
  <si>
    <t>A. 月別×大区分 支出額</t>
  </si>
  <si>
    <t>B. 月別×科目 支出額</t>
  </si>
  <si>
    <t>C. 期間合計</t>
  </si>
  <si>
    <t>合計支出</t>
  </si>
  <si>
    <t>家計簿レポート</t>
  </si>
  <si>
    <t>※ グラフは「設定」シートの集計対象 (TRUE/FALSE) に連動します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</si>
</sst>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yyyy/mm/dd"/>
  </numFmts>
  <fonts count="8" x14ac:knownFonts="1">
    <font>
      <color theme="1"/>
      <family val="2"/>
      <scheme val="minor"/>
      <sz val="11"/>
      <name val="Calibri"/>
    </font>
    <font>
      <b/>
      <color rgb="FF1F3864"/>
    </font>
    <font>
      <color rgb="FF2E7D32"/>
    </font>
    <font>
      <b/>
      <color rgb="FF7F7F7F"/>
    </font>
    <font>
      <b/>
    </font>
    <font>
      <b/>
      <sz val="12"/>
    </font>
    <font>
      <b/>
      <sz val="14"/>
    </font>
    <font>
      <color rgb="FF666666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0" fontId="3" fillId="3" borderId="0" xfId="0" applyFont="1" applyFill="1" applyAlignment="1">
      <alignment horizontal="center" vertical="center"/>
    </xf>
    <xf numFmtId="165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3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月別支出 大区分別 (積み上げ)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'集計'!$B$2</c:f>
              <c:strCache>
                <c:ptCount val="1"/>
                <c:pt idx="0">
                  <c:v>食料品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'集計'!$B$3:$B$3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'集計'!$C$2</c:f>
              <c:strCache>
                <c:ptCount val="1"/>
                <c:pt idx="0">
                  <c:v>生活用品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'集計'!$C$3:$C$3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'集計'!$D$2</c:f>
              <c:strCache>
                <c:ptCount val="1"/>
                <c:pt idx="0">
                  <c:v>ペット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'集計'!$D$3:$D$3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'集計'!$E$2</c:f>
              <c:strCache>
                <c:ptCount val="1"/>
                <c:pt idx="0">
                  <c:v>通信・情報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'集計'!$E$3:$E$3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'集計'!$F$2</c:f>
              <c:strCache>
                <c:ptCount val="1"/>
                <c:pt idx="0">
                  <c:v>公共・住居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'集計'!$F$3:$F$3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'集計'!$G$2</c:f>
              <c:strCache>
                <c:ptCount val="1"/>
                <c:pt idx="0">
                  <c:v>医療・保険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'集計'!$G$3:$G$3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'集計'!$H$2</c:f>
              <c:strCache>
                <c:ptCount val="1"/>
                <c:pt idx="0">
                  <c:v>娯楽・交際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'集計'!$H$3:$H$3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'集計'!$I$2</c:f>
              <c:strCache>
                <c:ptCount val="1"/>
                <c:pt idx="0">
                  <c:v>金融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'集計'!$I$3:$I$3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'集計'!$J$2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'集計'!$J$3:$J$3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100"/>
        <c:axId val="138686418"/>
        <c:axId val="138686419"/>
      </c:barChart>
      <c:catAx>
        <c:axId val="138686418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38686419"/>
      </c:catAx>
      <c:valAx>
        <c:axId val="138686419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38686418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月別支出 大区分別 (比較)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'集計'!$B$2</c:f>
              <c:strCache>
                <c:ptCount val="1"/>
                <c:pt idx="0">
                  <c:v>食料品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'集計'!$B$3:$B$3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'集計'!$C$2</c:f>
              <c:strCache>
                <c:ptCount val="1"/>
                <c:pt idx="0">
                  <c:v>生活用品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'集計'!$C$3:$C$3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'集計'!$D$2</c:f>
              <c:strCache>
                <c:ptCount val="1"/>
                <c:pt idx="0">
                  <c:v>ペット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'集計'!$D$3:$D$3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'集計'!$E$2</c:f>
              <c:strCache>
                <c:ptCount val="1"/>
                <c:pt idx="0">
                  <c:v>通信・情報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'集計'!$E$3:$E$3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'集計'!$F$2</c:f>
              <c:strCache>
                <c:ptCount val="1"/>
                <c:pt idx="0">
                  <c:v>公共・住居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'集計'!$F$3:$F$3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'集計'!$G$2</c:f>
              <c:strCache>
                <c:ptCount val="1"/>
                <c:pt idx="0">
                  <c:v>医療・保険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'集計'!$G$3:$G$3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'集計'!$H$2</c:f>
              <c:strCache>
                <c:ptCount val="1"/>
                <c:pt idx="0">
                  <c:v>娯楽・交際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'集計'!$H$3:$H$3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'集計'!$I$2</c:f>
              <c:strCache>
                <c:ptCount val="1"/>
                <c:pt idx="0">
                  <c:v>金融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'集計'!$I$3:$I$3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'集計'!$J$2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'集計'!$A$3:$A$3</c:f>
              <c:strCache>
                <c:ptCount val="1"/>
                <c:pt idx="0">
                  <c:v>2026-08</c:v>
                </c:pt>
              </c:strCache>
            </c:strRef>
          </c:cat>
          <c:val>
            <c:numRef>
              <c:f>'集計'!$J$3:$J$3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gapWidth val="119"/>
        <c:overlap val="-27"/>
        <c:axId val="164681716"/>
        <c:axId val="164681717"/>
      </c:barChart>
      <c:catAx>
        <c:axId val="164681716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64681717"/>
      </c:catAx>
      <c:valAx>
        <c:axId val="164681717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64681716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大区分別 合計支出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合計支出</c:v>
          </c:tx>
          <c:spPr>
            <a:solidFill>
              <a:srgbClr val="4472C4"/>
            </a:solidFill>
            <a:ln>
              <a:solidFill>
                <a:srgbClr val="FFFFFF"/>
              </a:solidFill>
            </a:ln>
          </c:spPr>
          <c:invertIfNegative val="0"/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'集計'!$A$11:$A$19</c:f>
              <c:strCache>
                <c:ptCount val="9"/>
                <c:pt idx="0">
                  <c:v>食料品</c:v>
                </c:pt>
                <c:pt idx="1">
                  <c:v>生活用品</c:v>
                </c:pt>
                <c:pt idx="2">
                  <c:v>ペット</c:v>
                </c:pt>
                <c:pt idx="3">
                  <c:v>通信・情報</c:v>
                </c:pt>
                <c:pt idx="4">
                  <c:v>公共・住居</c:v>
                </c:pt>
                <c:pt idx="5">
                  <c:v>医療・保険</c:v>
                </c:pt>
                <c:pt idx="6">
                  <c:v>娯楽・交際</c:v>
                </c:pt>
                <c:pt idx="7">
                  <c:v>金融</c:v>
                </c:pt>
                <c:pt idx="8">
                  <c:v>その他</c:v>
                </c:pt>
              </c:strCache>
            </c:strRef>
          </c:cat>
          <c:val>
            <c:numRef>
              <c:f>'集計'!$B$11:$B$19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19"/>
        <c:overlap val="-27"/>
        <c:axId val="107594248"/>
        <c:axId val="107594249"/>
      </c:barChart>
      <c:catAx>
        <c:axId val="107594248"/>
        <c:scaling>
          <c:orientation val="minMax"/>
        </c:scaling>
        <c:delete val="0"/>
        <c:axPos val="b"/>
        <c:txPr>
          <a:bodyPr/>
          <a:lstStyle/>
          <a:p>
            <a:pPr>
              <a:defRPr/>
            </a:pPr>
            <a:endParaRPr lang="ja-JP"/>
          </a:p>
        </c:txPr>
        <c:crossAx val="107594249"/>
      </c:catAx>
      <c:valAx>
        <c:axId val="107594249"/>
        <c:scaling>
          <c:orientation val="minMax"/>
        </c:scaling>
        <c:delete val="0"/>
        <c:axPos val="l"/>
        <c:majorGridlines/>
        <c:numFmt formatCode="#,##0" sourceLinked="0"/>
        <c:txPr>
          <a:bodyPr/>
          <a:lstStyle/>
          <a:p>
            <a:pPr>
              <a:defRPr/>
            </a:pPr>
            <a:endParaRPr lang="ja-JP"/>
          </a:p>
        </c:txPr>
        <c:crossAx val="107594248"/>
      </c:valAx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roundedCorners val="0"/>
  <c:chart>
    <c:title>
      <c:tx>
        <c:rich>
          <a:bodyPr/>
          <a:lstStyle/>
          <a:p>
            <a:pPr>
              <a:defRPr/>
            </a:pPr>
            <a:r>
              <a:rPr lang="ja-JP"/>
              <a:t>科目別 合計支出 (割合)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合計支出</c:v>
          </c:tx>
          <c:dPt>
            <c:idx val="0"/>
            <c:bubble3D val="0"/>
            <c:spPr>
              <a:solidFill>
                <a:srgbClr val="4472C4"/>
              </a:solidFill>
              <a:ln w="9525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9525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9525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5B9BD5"/>
              </a:solidFill>
              <a:ln w="9525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70AD47"/>
              </a:solidFill>
              <a:ln w="9525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264478"/>
              </a:solidFill>
              <a:ln w="9525">
                <a:solidFill>
                  <a:srgbClr val="FFFFFF"/>
                </a:solidFill>
              </a:ln>
            </c:spPr>
          </c:dPt>
          <c:dPt>
            <c:idx val="7"/>
            <c:bubble3D val="0"/>
            <c:spPr>
              <a:solidFill>
                <a:srgbClr val="9E480E"/>
              </a:solidFill>
              <a:ln w="9525">
                <a:solidFill>
                  <a:srgbClr val="FFFFFF"/>
                </a:solidFill>
              </a:ln>
            </c:spPr>
          </c:dPt>
          <c:dPt>
            <c:idx val="8"/>
            <c:bubble3D val="0"/>
            <c:spPr>
              <a:solidFill>
                <a:srgbClr val="636363"/>
              </a:solidFill>
              <a:ln w="9525">
                <a:solidFill>
                  <a:srgbClr val="FFFFFF"/>
                </a:solidFill>
              </a:ln>
            </c:spPr>
          </c:dPt>
          <c:dPt>
            <c:idx val="9"/>
            <c:bubble3D val="0"/>
            <c:spPr>
              <a:solidFill>
                <a:srgbClr val="997300"/>
              </a:solidFill>
              <a:ln w="9525">
                <a:solidFill>
                  <a:srgbClr val="FFFFFF"/>
                </a:solidFill>
              </a:ln>
            </c:spPr>
          </c:dPt>
          <c:dPt>
            <c:idx val="10"/>
            <c:bubble3D val="0"/>
            <c:spPr>
              <a:solidFill>
                <a:srgbClr val="E8B4B8"/>
              </a:solidFill>
              <a:ln w="9525">
                <a:solidFill>
                  <a:srgbClr val="FFFFFF"/>
                </a:solidFill>
              </a:ln>
            </c:spPr>
          </c:dPt>
          <c:dPt>
            <c:idx val="11"/>
            <c:bubble3D val="0"/>
            <c:spPr>
              <a:solidFill>
                <a:srgbClr val="7B68A6"/>
              </a:solidFill>
              <a:ln w="9525">
                <a:solidFill>
                  <a:srgbClr val="FFFFFF"/>
                </a:solidFill>
              </a:ln>
            </c:spPr>
          </c:dPt>
          <c:dPt>
            <c:idx val="12"/>
            <c:bubble3D val="0"/>
            <c:spPr>
              <a:solidFill>
                <a:srgbClr val="4472C4"/>
              </a:solidFill>
              <a:ln w="9525">
                <a:solidFill>
                  <a:srgbClr val="FFFFFF"/>
                </a:solidFill>
              </a:ln>
            </c:spPr>
          </c:dPt>
          <c:dPt>
            <c:idx val="13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</a:ln>
            </c:spPr>
          </c:dPt>
          <c:dPt>
            <c:idx val="14"/>
            <c:bubble3D val="0"/>
            <c:spPr>
              <a:solidFill>
                <a:srgbClr val="A5A5A5"/>
              </a:solidFill>
              <a:ln w="9525">
                <a:solidFill>
                  <a:srgbClr val="FFFFFF"/>
                </a:solidFill>
              </a:ln>
            </c:spPr>
          </c:dPt>
          <c:dPt>
            <c:idx val="15"/>
            <c:bubble3D val="0"/>
            <c:spPr>
              <a:solidFill>
                <a:srgbClr val="FFC000"/>
              </a:solidFill>
              <a:ln w="9525">
                <a:solidFill>
                  <a:srgbClr val="FFFFFF"/>
                </a:solidFill>
              </a:ln>
            </c:spPr>
          </c:dPt>
          <c:dPt>
            <c:idx val="16"/>
            <c:bubble3D val="0"/>
            <c:spPr>
              <a:solidFill>
                <a:srgbClr val="5B9BD5"/>
              </a:solidFill>
              <a:ln w="9525">
                <a:solidFill>
                  <a:srgbClr val="FFFFFF"/>
                </a:solidFill>
              </a:ln>
            </c:spPr>
          </c:dPt>
          <c:dPt>
            <c:idx val="17"/>
            <c:bubble3D val="0"/>
            <c:spPr>
              <a:solidFill>
                <a:srgbClr val="70AD47"/>
              </a:solidFill>
              <a:ln w="9525">
                <a:solidFill>
                  <a:srgbClr val="FFFFFF"/>
                </a:solidFill>
              </a:ln>
            </c:spPr>
          </c:dPt>
          <c:dPt>
            <c:idx val="18"/>
            <c:bubble3D val="0"/>
            <c:spPr>
              <a:solidFill>
                <a:srgbClr val="264478"/>
              </a:solidFill>
              <a:ln w="9525">
                <a:solidFill>
                  <a:srgbClr val="FFFFFF"/>
                </a:solidFill>
              </a:ln>
            </c:spPr>
          </c:dPt>
          <c:dPt>
            <c:idx val="19"/>
            <c:bubble3D val="0"/>
            <c:spPr>
              <a:solidFill>
                <a:srgbClr val="9E480E"/>
              </a:solidFill>
              <a:ln w="9525">
                <a:solidFill>
                  <a:srgbClr val="FFFFFF"/>
                </a:solidFill>
              </a:ln>
            </c:spPr>
          </c:dPt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'集計'!$D$11:$D$30</c:f>
              <c:strCache>
                <c:ptCount val="20"/>
                <c:pt idx="0">
                  <c:v>惣菜・弁当</c:v>
                </c:pt>
                <c:pt idx="1">
                  <c:v>飲料</c:v>
                </c:pt>
                <c:pt idx="2">
                  <c:v>日用品</c:v>
                </c:pt>
                <c:pt idx="3">
                  <c:v>猫</c:v>
                </c:pt>
                <c:pt idx="4">
                  <c:v>食費</c:v>
                </c:pt>
                <c:pt idx="5">
                  <c:v>乾燥機</c:v>
                </c:pt>
                <c:pt idx="6">
                  <c:v>菓子</c:v>
                </c:pt>
                <c:pt idx="7">
                  <c:v>調味料</c:v>
                </c:pt>
                <c:pt idx="8">
                  <c:v>その他</c:v>
                </c:pt>
                <c:pt idx="9">
                  <c:v>娯楽</c:v>
                </c:pt>
                <c:pt idx="10">
                  <c:v>交際費</c:v>
                </c:pt>
                <c:pt idx="11">
                  <c:v>保険</c:v>
                </c:pt>
                <c:pt idx="12">
                  <c:v>光熱費</c:v>
                </c:pt>
                <c:pt idx="13">
                  <c:v>通信費</c:v>
                </c:pt>
                <c:pt idx="14">
                  <c:v>NHK</c:v>
                </c:pt>
                <c:pt idx="15">
                  <c:v>医療費</c:v>
                </c:pt>
                <c:pt idx="16">
                  <c:v>住居</c:v>
                </c:pt>
                <c:pt idx="17">
                  <c:v>新聞</c:v>
                </c:pt>
                <c:pt idx="18">
                  <c:v>公共料金</c:v>
                </c:pt>
                <c:pt idx="19">
                  <c:v>カード引落</c:v>
                </c:pt>
              </c:strCache>
            </c:strRef>
          </c:cat>
          <c:val>
            <c:numRef>
              <c:f>'集計'!$E$11:$E$30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plotVisOnly val="1"/>
    <c:dispBlanksAs val="gap"/>
    <c:legend>
      <c:legendPos val="b"/>
      <c:overlay val="0"/>
      <c:txPr>
        <a:bodyPr/>
        <a:lstStyle/>
        <a:p>
          <a:pPr>
            <a:defRPr/>
          </a:pPr>
          <a:endParaRPr lang="ja-JP"/>
        </a:p>
      </c:txPr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.8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1841160</v>
      </c>
      <c r="C2" s="2">
        <v>1826962</v>
      </c>
      <c r="D2" s="3">
        <v>14198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4" width="16.8" customWidth="1"/>
    <col min="5" max="5" width="37.6" customWidth="1"/>
  </cols>
  <sheetData>
    <row r="1" ht="22" customHeight="1" spans="1:8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4" t="s">
        <v>0</v>
      </c>
      <c r="G1" s="4" t="s">
        <v>10</v>
      </c>
      <c r="H1" s="4" t="s">
        <v>11</v>
      </c>
    </row>
    <row r="2" spans="1:8" x14ac:dyDescent="0.25">
      <c r="A2" s="5">
        <v>46264.625</v>
      </c>
      <c r="B2" t="s">
        <v>12</v>
      </c>
      <c r="C2" t="s">
        <v>13</v>
      </c>
      <c r="D2" s="2">
        <v>162</v>
      </c>
      <c r="E2" t="s">
        <v>14</v>
      </c>
      <c r="F2">
        <f>TEXT(A2,"yyyy-mm")</f>
      </c>
      <c r="G2">
        <f>IF(B2="支出",IFERROR(VLOOKUP(C2,設定!$A$2:$B$200,2,FALSE),"その他"),"")</f>
      </c>
      <c r="H2">
        <f>IF(B2="支出",IFERROR(VLOOKUP(C2,設定!$A$2:$C$200,3,FALSE),FALSE),FALSE)</f>
      </c>
    </row>
    <row r="3" spans="1:8" x14ac:dyDescent="0.25">
      <c r="A3" s="5">
        <v>46264.625</v>
      </c>
      <c r="B3" t="s">
        <v>12</v>
      </c>
      <c r="C3" t="s">
        <v>15</v>
      </c>
      <c r="D3" s="2">
        <v>588</v>
      </c>
      <c r="E3" t="s">
        <v>14</v>
      </c>
      <c r="F3">
        <f>TEXT(A3,"yyyy-mm")</f>
      </c>
      <c r="G3">
        <f>IF(B3="支出",IFERROR(VLOOKUP(C3,設定!$A$2:$B$200,2,FALSE),"その他"),"")</f>
      </c>
      <c r="H3">
        <f>IF(B3="支出",IFERROR(VLOOKUP(C3,設定!$A$2:$C$200,3,FALSE),FALSE),FALSE)</f>
      </c>
    </row>
    <row r="4" spans="1:8" x14ac:dyDescent="0.25">
      <c r="A4" s="5">
        <v>46264.625</v>
      </c>
      <c r="B4" t="s">
        <v>12</v>
      </c>
      <c r="C4" t="s">
        <v>16</v>
      </c>
      <c r="D4" s="2">
        <v>1902</v>
      </c>
      <c r="E4" t="s">
        <v>14</v>
      </c>
      <c r="F4">
        <f>TEXT(A4,"yyyy-mm")</f>
      </c>
      <c r="G4">
        <f>IF(B4="支出",IFERROR(VLOOKUP(C4,設定!$A$2:$B$200,2,FALSE),"その他"),"")</f>
      </c>
      <c r="H4">
        <f>IF(B4="支出",IFERROR(VLOOKUP(C4,設定!$A$2:$C$200,3,FALSE),FALSE),FALSE)</f>
      </c>
    </row>
    <row r="5" spans="1:8" x14ac:dyDescent="0.25">
      <c r="A5" s="5">
        <v>46264.625</v>
      </c>
      <c r="B5" t="s">
        <v>12</v>
      </c>
      <c r="C5" t="s">
        <v>17</v>
      </c>
      <c r="D5" s="2">
        <v>983</v>
      </c>
      <c r="E5" t="s">
        <v>14</v>
      </c>
      <c r="F5">
        <f>TEXT(A5,"yyyy-mm")</f>
      </c>
      <c r="G5">
        <f>IF(B5="支出",IFERROR(VLOOKUP(C5,設定!$A$2:$B$200,2,FALSE),"その他"),"")</f>
      </c>
      <c r="H5">
        <f>IF(B5="支出",IFERROR(VLOOKUP(C5,設定!$A$2:$C$200,3,FALSE),FALSE),FALSE)</f>
      </c>
    </row>
    <row r="6" spans="1:8" x14ac:dyDescent="0.25">
      <c r="A6" s="5">
        <v>46264.625</v>
      </c>
      <c r="B6" t="s">
        <v>12</v>
      </c>
      <c r="C6" t="s">
        <v>18</v>
      </c>
      <c r="D6" s="2">
        <v>2239</v>
      </c>
      <c r="E6" t="s">
        <v>14</v>
      </c>
      <c r="F6">
        <f>TEXT(A6,"yyyy-mm")</f>
      </c>
      <c r="G6">
        <f>IF(B6="支出",IFERROR(VLOOKUP(C6,設定!$A$2:$B$200,2,FALSE),"その他"),"")</f>
      </c>
      <c r="H6">
        <f>IF(B6="支出",IFERROR(VLOOKUP(C6,設定!$A$2:$C$200,3,FALSE),FALSE),FALSE)</f>
      </c>
    </row>
    <row r="7" spans="1:8" x14ac:dyDescent="0.25">
      <c r="A7" s="5">
        <v>46264.625</v>
      </c>
      <c r="B7" t="s">
        <v>12</v>
      </c>
      <c r="C7" t="s">
        <v>19</v>
      </c>
      <c r="D7" s="2">
        <v>2800</v>
      </c>
      <c r="E7" t="s">
        <v>14</v>
      </c>
      <c r="F7">
        <f>TEXT(A7,"yyyy-mm")</f>
      </c>
      <c r="G7">
        <f>IF(B7="支出",IFERROR(VLOOKUP(C7,設定!$A$2:$B$200,2,FALSE),"その他"),"")</f>
      </c>
      <c r="H7">
        <f>IF(B7="支出",IFERROR(VLOOKUP(C7,設定!$A$2:$C$200,3,FALSE),FALSE),FALSE)</f>
      </c>
    </row>
    <row r="8" spans="1:8" x14ac:dyDescent="0.25">
      <c r="A8" s="5">
        <v>46264.625</v>
      </c>
      <c r="B8" t="s">
        <v>20</v>
      </c>
      <c r="C8" t="s">
        <v>21</v>
      </c>
      <c r="D8" s="2">
        <v>20000</v>
      </c>
      <c r="E8" t="s">
        <v>22</v>
      </c>
      <c r="F8">
        <f>TEXT(A8,"yyyy-mm")</f>
      </c>
      <c r="G8">
        <f>IF(B8="支出",IFERROR(VLOOKUP(C8,設定!$A$2:$B$200,2,FALSE),"その他"),"")</f>
      </c>
      <c r="H8">
        <f>IF(B8="支出",IFERROR(VLOOKUP(C8,設定!$A$2:$C$200,3,FALSE),FALSE),FALSE)</f>
      </c>
    </row>
    <row r="9" spans="1:8" x14ac:dyDescent="0.25">
      <c r="A9" s="5">
        <v>46263.625</v>
      </c>
      <c r="B9" t="s">
        <v>12</v>
      </c>
      <c r="C9" t="s">
        <v>23</v>
      </c>
      <c r="D9" s="2">
        <v>2378</v>
      </c>
      <c r="E9" t="s">
        <v>14</v>
      </c>
      <c r="F9">
        <f>TEXT(A9,"yyyy-mm")</f>
      </c>
      <c r="G9">
        <f>IF(B9="支出",IFERROR(VLOOKUP(C9,設定!$A$2:$B$200,2,FALSE),"その他"),"")</f>
      </c>
      <c r="H9">
        <f>IF(B9="支出",IFERROR(VLOOKUP(C9,設定!$A$2:$C$200,3,FALSE),FALSE),FALSE)</f>
      </c>
    </row>
    <row r="10" spans="1:8" x14ac:dyDescent="0.25">
      <c r="A10" s="5">
        <v>46263.625</v>
      </c>
      <c r="B10" t="s">
        <v>12</v>
      </c>
      <c r="C10" t="s">
        <v>24</v>
      </c>
      <c r="D10" s="2">
        <v>225</v>
      </c>
      <c r="E10" t="s">
        <v>14</v>
      </c>
      <c r="F10">
        <f>TEXT(A10,"yyyy-mm")</f>
      </c>
      <c r="G10">
        <f>IF(B10="支出",IFERROR(VLOOKUP(C10,設定!$A$2:$B$200,2,FALSE),"その他"),"")</f>
      </c>
      <c r="H10">
        <f>IF(B10="支出",IFERROR(VLOOKUP(C10,設定!$A$2:$C$200,3,FALSE),FALSE),FALSE)</f>
      </c>
    </row>
    <row r="11" spans="1:8" x14ac:dyDescent="0.25">
      <c r="A11" s="5">
        <v>46263.625</v>
      </c>
      <c r="B11" t="s">
        <v>12</v>
      </c>
      <c r="C11" t="s">
        <v>13</v>
      </c>
      <c r="D11" s="2">
        <v>4479</v>
      </c>
      <c r="E11" t="s">
        <v>14</v>
      </c>
      <c r="F11">
        <f>TEXT(A11,"yyyy-mm")</f>
      </c>
      <c r="G11">
        <f>IF(B11="支出",IFERROR(VLOOKUP(C11,設定!$A$2:$B$200,2,FALSE),"その他"),"")</f>
      </c>
      <c r="H11">
        <f>IF(B11="支出",IFERROR(VLOOKUP(C11,設定!$A$2:$C$200,3,FALSE),FALSE),FALSE)</f>
      </c>
    </row>
    <row r="12" spans="1:8" x14ac:dyDescent="0.25">
      <c r="A12" s="5">
        <v>46263.625</v>
      </c>
      <c r="B12" t="s">
        <v>12</v>
      </c>
      <c r="C12" t="s">
        <v>18</v>
      </c>
      <c r="D12" s="2">
        <v>3000</v>
      </c>
      <c r="E12" t="s">
        <v>14</v>
      </c>
      <c r="F12">
        <f>TEXT(A12,"yyyy-mm")</f>
      </c>
      <c r="G12">
        <f>IF(B12="支出",IFERROR(VLOOKUP(C12,設定!$A$2:$B$200,2,FALSE),"その他"),"")</f>
      </c>
      <c r="H12">
        <f>IF(B12="支出",IFERROR(VLOOKUP(C12,設定!$A$2:$C$200,3,FALSE),FALSE),FALSE)</f>
      </c>
    </row>
    <row r="13" spans="1:8" x14ac:dyDescent="0.25">
      <c r="A13" s="5">
        <v>46262.625</v>
      </c>
      <c r="B13" t="s">
        <v>12</v>
      </c>
      <c r="C13" t="s">
        <v>19</v>
      </c>
      <c r="D13" s="2">
        <v>800</v>
      </c>
      <c r="E13" t="s">
        <v>14</v>
      </c>
      <c r="F13">
        <f>TEXT(A13,"yyyy-mm")</f>
      </c>
      <c r="G13">
        <f>IF(B13="支出",IFERROR(VLOOKUP(C13,設定!$A$2:$B$200,2,FALSE),"その他"),"")</f>
      </c>
      <c r="H13">
        <f>IF(B13="支出",IFERROR(VLOOKUP(C13,設定!$A$2:$C$200,3,FALSE),FALSE),FALSE)</f>
      </c>
    </row>
    <row r="14" spans="1:8" x14ac:dyDescent="0.25">
      <c r="A14" s="5">
        <v>46262.625</v>
      </c>
      <c r="B14" t="s">
        <v>12</v>
      </c>
      <c r="C14" t="s">
        <v>23</v>
      </c>
      <c r="D14" s="2">
        <v>301</v>
      </c>
      <c r="E14" t="s">
        <v>14</v>
      </c>
      <c r="F14">
        <f>TEXT(A14,"yyyy-mm")</f>
      </c>
      <c r="G14">
        <f>IF(B14="支出",IFERROR(VLOOKUP(C14,設定!$A$2:$B$200,2,FALSE),"その他"),"")</f>
      </c>
      <c r="H14">
        <f>IF(B14="支出",IFERROR(VLOOKUP(C14,設定!$A$2:$C$200,3,FALSE),FALSE),FALSE)</f>
      </c>
    </row>
    <row r="15" spans="1:8" x14ac:dyDescent="0.25">
      <c r="A15" s="5">
        <v>46262.625</v>
      </c>
      <c r="B15" t="s">
        <v>12</v>
      </c>
      <c r="C15" t="s">
        <v>13</v>
      </c>
      <c r="D15" s="2">
        <v>2076</v>
      </c>
      <c r="E15" t="s">
        <v>14</v>
      </c>
      <c r="F15">
        <f>TEXT(A15,"yyyy-mm")</f>
      </c>
      <c r="G15">
        <f>IF(B15="支出",IFERROR(VLOOKUP(C15,設定!$A$2:$B$200,2,FALSE),"その他"),"")</f>
      </c>
      <c r="H15">
        <f>IF(B15="支出",IFERROR(VLOOKUP(C15,設定!$A$2:$C$200,3,FALSE),FALSE),FALSE)</f>
      </c>
    </row>
    <row r="16" spans="1:8" x14ac:dyDescent="0.25">
      <c r="A16" s="5">
        <v>46262.625</v>
      </c>
      <c r="B16" t="s">
        <v>12</v>
      </c>
      <c r="C16" t="s">
        <v>16</v>
      </c>
      <c r="D16" s="2">
        <v>130</v>
      </c>
      <c r="E16" t="s">
        <v>14</v>
      </c>
      <c r="F16">
        <f>TEXT(A16,"yyyy-mm")</f>
      </c>
      <c r="G16">
        <f>IF(B16="支出",IFERROR(VLOOKUP(C16,設定!$A$2:$B$200,2,FALSE),"その他"),"")</f>
      </c>
      <c r="H16">
        <f>IF(B16="支出",IFERROR(VLOOKUP(C16,設定!$A$2:$C$200,3,FALSE),FALSE),FALSE)</f>
      </c>
    </row>
    <row r="17" spans="1:8" x14ac:dyDescent="0.25">
      <c r="A17" s="5">
        <v>46262.625</v>
      </c>
      <c r="B17" t="s">
        <v>12</v>
      </c>
      <c r="C17" t="s">
        <v>18</v>
      </c>
      <c r="D17" s="2">
        <v>2649</v>
      </c>
      <c r="E17" t="s">
        <v>14</v>
      </c>
      <c r="F17">
        <f>TEXT(A17,"yyyy-mm")</f>
      </c>
      <c r="G17">
        <f>IF(B17="支出",IFERROR(VLOOKUP(C17,設定!$A$2:$B$200,2,FALSE),"その他"),"")</f>
      </c>
      <c r="H17">
        <f>IF(B17="支出",IFERROR(VLOOKUP(C17,設定!$A$2:$C$200,3,FALSE),FALSE),FALSE)</f>
      </c>
    </row>
    <row r="18" spans="1:8" x14ac:dyDescent="0.25">
      <c r="A18" s="5">
        <v>46262.625</v>
      </c>
      <c r="B18" t="s">
        <v>12</v>
      </c>
      <c r="C18" t="s">
        <v>15</v>
      </c>
      <c r="D18" s="2">
        <v>2555</v>
      </c>
      <c r="E18" t="s">
        <v>14</v>
      </c>
      <c r="F18">
        <f>TEXT(A18,"yyyy-mm")</f>
      </c>
      <c r="G18">
        <f>IF(B18="支出",IFERROR(VLOOKUP(C18,設定!$A$2:$B$200,2,FALSE),"その他"),"")</f>
      </c>
      <c r="H18">
        <f>IF(B18="支出",IFERROR(VLOOKUP(C18,設定!$A$2:$C$200,3,FALSE),FALSE),FALSE)</f>
      </c>
    </row>
    <row r="19" spans="1:8" x14ac:dyDescent="0.25">
      <c r="A19" s="5">
        <v>46262.625</v>
      </c>
      <c r="B19" t="s">
        <v>12</v>
      </c>
      <c r="C19" t="s">
        <v>25</v>
      </c>
      <c r="D19" s="2">
        <v>6600</v>
      </c>
      <c r="E19" t="s">
        <v>26</v>
      </c>
      <c r="F19">
        <f>TEXT(A19,"yyyy-mm")</f>
      </c>
      <c r="G19">
        <f>IF(B19="支出",IFERROR(VLOOKUP(C19,設定!$A$2:$B$200,2,FALSE),"その他"),"")</f>
      </c>
      <c r="H19">
        <f>IF(B19="支出",IFERROR(VLOOKUP(C19,設定!$A$2:$C$200,3,FALSE),FALSE),FALSE)</f>
      </c>
    </row>
    <row r="20" spans="1:8" x14ac:dyDescent="0.25">
      <c r="A20" s="5">
        <v>46262.625</v>
      </c>
      <c r="B20" t="s">
        <v>12</v>
      </c>
      <c r="C20" t="s">
        <v>27</v>
      </c>
      <c r="D20" s="2">
        <v>1584</v>
      </c>
      <c r="E20" t="s">
        <v>28</v>
      </c>
      <c r="F20">
        <f>TEXT(A20,"yyyy-mm")</f>
      </c>
      <c r="G20">
        <f>IF(B20="支出",IFERROR(VLOOKUP(C20,設定!$A$2:$B$200,2,FALSE),"その他"),"")</f>
      </c>
      <c r="H20">
        <f>IF(B20="支出",IFERROR(VLOOKUP(C20,設定!$A$2:$C$200,3,FALSE),FALSE),FALSE)</f>
      </c>
    </row>
    <row r="21" spans="1:8" x14ac:dyDescent="0.25">
      <c r="A21" s="5">
        <v>46262.625</v>
      </c>
      <c r="B21" t="s">
        <v>12</v>
      </c>
      <c r="C21" t="s">
        <v>17</v>
      </c>
      <c r="D21" s="2">
        <v>3164</v>
      </c>
      <c r="E21" t="s">
        <v>28</v>
      </c>
      <c r="F21">
        <f>TEXT(A21,"yyyy-mm")</f>
      </c>
      <c r="G21">
        <f>IF(B21="支出",IFERROR(VLOOKUP(C21,設定!$A$2:$B$200,2,FALSE),"その他"),"")</f>
      </c>
      <c r="H21">
        <f>IF(B21="支出",IFERROR(VLOOKUP(C21,設定!$A$2:$C$200,3,FALSE),FALSE),FALSE)</f>
      </c>
    </row>
    <row r="22" spans="1:8" x14ac:dyDescent="0.25">
      <c r="A22" s="5">
        <v>46262.625</v>
      </c>
      <c r="B22" t="s">
        <v>12</v>
      </c>
      <c r="C22" t="s">
        <v>23</v>
      </c>
      <c r="D22" s="2">
        <v>495</v>
      </c>
      <c r="E22" t="s">
        <v>28</v>
      </c>
      <c r="F22">
        <f>TEXT(A22,"yyyy-mm")</f>
      </c>
      <c r="G22">
        <f>IF(B22="支出",IFERROR(VLOOKUP(C22,設定!$A$2:$B$200,2,FALSE),"その他"),"")</f>
      </c>
      <c r="H22">
        <f>IF(B22="支出",IFERROR(VLOOKUP(C22,設定!$A$2:$C$200,3,FALSE),FALSE),FALSE)</f>
      </c>
    </row>
    <row r="23" spans="1:8" x14ac:dyDescent="0.25">
      <c r="A23" s="5">
        <v>46262.625</v>
      </c>
      <c r="B23" t="s">
        <v>12</v>
      </c>
      <c r="C23" t="s">
        <v>13</v>
      </c>
      <c r="D23" s="2">
        <v>1242</v>
      </c>
      <c r="E23" t="s">
        <v>28</v>
      </c>
      <c r="F23">
        <f>TEXT(A23,"yyyy-mm")</f>
      </c>
      <c r="G23">
        <f>IF(B23="支出",IFERROR(VLOOKUP(C23,設定!$A$2:$B$200,2,FALSE),"その他"),"")</f>
      </c>
      <c r="H23">
        <f>IF(B23="支出",IFERROR(VLOOKUP(C23,設定!$A$2:$C$200,3,FALSE),FALSE),FALSE)</f>
      </c>
    </row>
    <row r="24" spans="1:8" x14ac:dyDescent="0.25">
      <c r="A24" s="5">
        <v>46262.625</v>
      </c>
      <c r="B24" t="s">
        <v>12</v>
      </c>
      <c r="C24" t="s">
        <v>15</v>
      </c>
      <c r="D24" s="2">
        <v>212</v>
      </c>
      <c r="E24" t="s">
        <v>28</v>
      </c>
      <c r="F24">
        <f>TEXT(A24,"yyyy-mm")</f>
      </c>
      <c r="G24">
        <f>IF(B24="支出",IFERROR(VLOOKUP(C24,設定!$A$2:$B$200,2,FALSE),"その他"),"")</f>
      </c>
      <c r="H24">
        <f>IF(B24="支出",IFERROR(VLOOKUP(C24,設定!$A$2:$C$200,3,FALSE),FALSE),FALSE)</f>
      </c>
    </row>
    <row r="25" spans="1:8" x14ac:dyDescent="0.25">
      <c r="A25" s="5">
        <v>46262.625</v>
      </c>
      <c r="B25" t="s">
        <v>20</v>
      </c>
      <c r="C25" t="s">
        <v>25</v>
      </c>
      <c r="D25" s="2">
        <v>13295</v>
      </c>
      <c r="E25" t="s">
        <v>28</v>
      </c>
      <c r="F25">
        <f>TEXT(A25,"yyyy-mm")</f>
      </c>
      <c r="G25">
        <f>IF(B25="支出",IFERROR(VLOOKUP(C25,設定!$A$2:$B$200,2,FALSE),"その他"),"")</f>
      </c>
      <c r="H25">
        <f>IF(B25="支出",IFERROR(VLOOKUP(C25,設定!$A$2:$C$200,3,FALSE),FALSE),FALSE)</f>
      </c>
    </row>
    <row r="26" spans="1:8" x14ac:dyDescent="0.25">
      <c r="A26" s="5">
        <v>46261.625</v>
      </c>
      <c r="B26" t="s">
        <v>12</v>
      </c>
      <c r="C26" t="s">
        <v>23</v>
      </c>
      <c r="D26" s="2">
        <v>881</v>
      </c>
      <c r="E26" t="s">
        <v>14</v>
      </c>
      <c r="F26">
        <f>TEXT(A26,"yyyy-mm")</f>
      </c>
      <c r="G26">
        <f>IF(B26="支出",IFERROR(VLOOKUP(C26,設定!$A$2:$B$200,2,FALSE),"その他"),"")</f>
      </c>
      <c r="H26">
        <f>IF(B26="支出",IFERROR(VLOOKUP(C26,設定!$A$2:$C$200,3,FALSE),FALSE),FALSE)</f>
      </c>
    </row>
    <row r="27" spans="1:8" x14ac:dyDescent="0.25">
      <c r="A27" s="5">
        <v>46261.625</v>
      </c>
      <c r="B27" t="s">
        <v>12</v>
      </c>
      <c r="C27" t="s">
        <v>16</v>
      </c>
      <c r="D27" s="2">
        <v>3416</v>
      </c>
      <c r="E27" t="s">
        <v>14</v>
      </c>
      <c r="F27">
        <f>TEXT(A27,"yyyy-mm")</f>
      </c>
      <c r="G27">
        <f>IF(B27="支出",IFERROR(VLOOKUP(C27,設定!$A$2:$B$200,2,FALSE),"その他"),"")</f>
      </c>
      <c r="H27">
        <f>IF(B27="支出",IFERROR(VLOOKUP(C27,設定!$A$2:$C$200,3,FALSE),FALSE),FALSE)</f>
      </c>
    </row>
    <row r="28" spans="1:8" x14ac:dyDescent="0.25">
      <c r="A28" s="5">
        <v>46261.625</v>
      </c>
      <c r="B28" t="s">
        <v>12</v>
      </c>
      <c r="C28" t="s">
        <v>18</v>
      </c>
      <c r="D28" s="2">
        <v>932</v>
      </c>
      <c r="E28" t="s">
        <v>14</v>
      </c>
      <c r="F28">
        <f>TEXT(A28,"yyyy-mm")</f>
      </c>
      <c r="G28">
        <f>IF(B28="支出",IFERROR(VLOOKUP(C28,設定!$A$2:$B$200,2,FALSE),"その他"),"")</f>
      </c>
      <c r="H28">
        <f>IF(B28="支出",IFERROR(VLOOKUP(C28,設定!$A$2:$C$200,3,FALSE),FALSE),FALSE)</f>
      </c>
    </row>
    <row r="29" spans="1:8" x14ac:dyDescent="0.25">
      <c r="A29" s="5">
        <v>46261.625</v>
      </c>
      <c r="B29" t="s">
        <v>12</v>
      </c>
      <c r="C29" t="s">
        <v>15</v>
      </c>
      <c r="D29" s="2">
        <v>1296</v>
      </c>
      <c r="E29" t="s">
        <v>14</v>
      </c>
      <c r="F29">
        <f>TEXT(A29,"yyyy-mm")</f>
      </c>
      <c r="G29">
        <f>IF(B29="支出",IFERROR(VLOOKUP(C29,設定!$A$2:$B$200,2,FALSE),"その他"),"")</f>
      </c>
      <c r="H29">
        <f>IF(B29="支出",IFERROR(VLOOKUP(C29,設定!$A$2:$C$200,3,FALSE),FALSE),FALSE)</f>
      </c>
    </row>
    <row r="30" spans="1:8" x14ac:dyDescent="0.25">
      <c r="A30" s="5">
        <v>46261.625</v>
      </c>
      <c r="B30" t="s">
        <v>12</v>
      </c>
      <c r="C30" t="s">
        <v>29</v>
      </c>
      <c r="D30" s="2">
        <v>21380</v>
      </c>
      <c r="E30" t="s">
        <v>30</v>
      </c>
      <c r="F30">
        <f>TEXT(A30,"yyyy-mm")</f>
      </c>
      <c r="G30">
        <f>IF(B30="支出",IFERROR(VLOOKUP(C30,設定!$A$2:$B$200,2,FALSE),"その他"),"")</f>
      </c>
      <c r="H30">
        <f>IF(B30="支出",IFERROR(VLOOKUP(C30,設定!$A$2:$C$200,3,FALSE),FALSE),FALSE)</f>
      </c>
    </row>
    <row r="31" spans="1:8" x14ac:dyDescent="0.25">
      <c r="A31" s="5">
        <v>46261.625</v>
      </c>
      <c r="B31" t="s">
        <v>20</v>
      </c>
      <c r="C31" t="s">
        <v>21</v>
      </c>
      <c r="D31" s="2">
        <v>40000</v>
      </c>
      <c r="E31" t="s">
        <v>22</v>
      </c>
      <c r="F31">
        <f>TEXT(A31,"yyyy-mm")</f>
      </c>
      <c r="G31">
        <f>IF(B31="支出",IFERROR(VLOOKUP(C31,設定!$A$2:$B$200,2,FALSE),"その他"),"")</f>
      </c>
      <c r="H31">
        <f>IF(B31="支出",IFERROR(VLOOKUP(C31,設定!$A$2:$C$200,3,FALSE),FALSE),FALSE)</f>
      </c>
    </row>
    <row r="32" spans="1:8" x14ac:dyDescent="0.25">
      <c r="A32" s="5">
        <v>46260.625</v>
      </c>
      <c r="B32" t="s">
        <v>12</v>
      </c>
      <c r="C32" t="s">
        <v>18</v>
      </c>
      <c r="D32" s="2">
        <v>6004</v>
      </c>
      <c r="E32" t="s">
        <v>31</v>
      </c>
      <c r="F32">
        <f>TEXT(A32,"yyyy-mm")</f>
      </c>
      <c r="G32">
        <f>IF(B32="支出",IFERROR(VLOOKUP(C32,設定!$A$2:$B$200,2,FALSE),"その他"),"")</f>
      </c>
      <c r="H32">
        <f>IF(B32="支出",IFERROR(VLOOKUP(C32,設定!$A$2:$C$200,3,FALSE),FALSE),FALSE)</f>
      </c>
    </row>
    <row r="33" spans="1:8" x14ac:dyDescent="0.25">
      <c r="A33" s="5">
        <v>46260.625</v>
      </c>
      <c r="B33" t="s">
        <v>12</v>
      </c>
      <c r="C33" t="s">
        <v>25</v>
      </c>
      <c r="D33" s="2">
        <v>1934</v>
      </c>
      <c r="E33" t="s">
        <v>32</v>
      </c>
      <c r="F33">
        <f>TEXT(A33,"yyyy-mm")</f>
      </c>
      <c r="G33">
        <f>IF(B33="支出",IFERROR(VLOOKUP(C33,設定!$A$2:$B$200,2,FALSE),"その他"),"")</f>
      </c>
      <c r="H33">
        <f>IF(B33="支出",IFERROR(VLOOKUP(C33,設定!$A$2:$C$200,3,FALSE),FALSE),FALSE)</f>
      </c>
    </row>
    <row r="34" spans="1:8" x14ac:dyDescent="0.25">
      <c r="A34" s="5">
        <v>46260.625</v>
      </c>
      <c r="B34" t="s">
        <v>20</v>
      </c>
      <c r="C34" t="s">
        <v>25</v>
      </c>
      <c r="D34" s="2">
        <v>1934</v>
      </c>
      <c r="E34" t="s">
        <v>32</v>
      </c>
      <c r="F34">
        <f>TEXT(A34,"yyyy-mm")</f>
      </c>
      <c r="G34">
        <f>IF(B34="支出",IFERROR(VLOOKUP(C34,設定!$A$2:$B$200,2,FALSE),"その他"),"")</f>
      </c>
      <c r="H34">
        <f>IF(B34="支出",IFERROR(VLOOKUP(C34,設定!$A$2:$C$200,3,FALSE),FALSE),FALSE)</f>
      </c>
    </row>
    <row r="35" spans="1:8" x14ac:dyDescent="0.25">
      <c r="A35" s="5">
        <v>46260.625</v>
      </c>
      <c r="B35" t="s">
        <v>12</v>
      </c>
      <c r="C35" t="s">
        <v>25</v>
      </c>
      <c r="D35" s="2">
        <v>3619</v>
      </c>
      <c r="E35" t="s">
        <v>33</v>
      </c>
      <c r="F35">
        <f>TEXT(A35,"yyyy-mm")</f>
      </c>
      <c r="G35">
        <f>IF(B35="支出",IFERROR(VLOOKUP(C35,設定!$A$2:$B$200,2,FALSE),"その他"),"")</f>
      </c>
      <c r="H35">
        <f>IF(B35="支出",IFERROR(VLOOKUP(C35,設定!$A$2:$C$200,3,FALSE),FALSE),FALSE)</f>
      </c>
    </row>
    <row r="36" spans="1:8" x14ac:dyDescent="0.25">
      <c r="A36" s="5">
        <v>46260.625</v>
      </c>
      <c r="B36" t="s">
        <v>20</v>
      </c>
      <c r="C36" t="s">
        <v>25</v>
      </c>
      <c r="D36" s="2">
        <v>3619</v>
      </c>
      <c r="E36" t="s">
        <v>33</v>
      </c>
      <c r="F36">
        <f>TEXT(A36,"yyyy-mm")</f>
      </c>
      <c r="G36">
        <f>IF(B36="支出",IFERROR(VLOOKUP(C36,設定!$A$2:$B$200,2,FALSE),"その他"),"")</f>
      </c>
      <c r="H36">
        <f>IF(B36="支出",IFERROR(VLOOKUP(C36,設定!$A$2:$C$200,3,FALSE),FALSE),FALSE)</f>
      </c>
    </row>
    <row r="37" spans="1:8" x14ac:dyDescent="0.25">
      <c r="A37" s="5">
        <v>46260.625</v>
      </c>
      <c r="B37" t="s">
        <v>12</v>
      </c>
      <c r="C37" t="s">
        <v>34</v>
      </c>
      <c r="D37" s="2">
        <v>14194</v>
      </c>
      <c r="E37" t="s">
        <v>35</v>
      </c>
      <c r="F37">
        <f>TEXT(A37,"yyyy-mm")</f>
      </c>
      <c r="G37">
        <f>IF(B37="支出",IFERROR(VLOOKUP(C37,設定!$A$2:$B$200,2,FALSE),"その他"),"")</f>
      </c>
      <c r="H37">
        <f>IF(B37="支出",IFERROR(VLOOKUP(C37,設定!$A$2:$C$200,3,FALSE),FALSE),FALSE)</f>
      </c>
    </row>
    <row r="38" spans="1:8" x14ac:dyDescent="0.25">
      <c r="A38" s="5">
        <v>46260.625</v>
      </c>
      <c r="B38" t="s">
        <v>20</v>
      </c>
      <c r="C38" t="s">
        <v>34</v>
      </c>
      <c r="D38" s="2">
        <v>14194</v>
      </c>
      <c r="E38" t="s">
        <v>35</v>
      </c>
      <c r="F38">
        <f>TEXT(A38,"yyyy-mm")</f>
      </c>
      <c r="G38">
        <f>IF(B38="支出",IFERROR(VLOOKUP(C38,設定!$A$2:$B$200,2,FALSE),"その他"),"")</f>
      </c>
      <c r="H38">
        <f>IF(B38="支出",IFERROR(VLOOKUP(C38,設定!$A$2:$C$200,3,FALSE),FALSE),FALSE)</f>
      </c>
    </row>
    <row r="39" spans="1:8" x14ac:dyDescent="0.25">
      <c r="A39" s="5">
        <v>46260.625</v>
      </c>
      <c r="B39" t="s">
        <v>12</v>
      </c>
      <c r="C39" t="s">
        <v>25</v>
      </c>
      <c r="D39" s="2">
        <v>29110</v>
      </c>
      <c r="E39" t="s">
        <v>36</v>
      </c>
      <c r="F39">
        <f>TEXT(A39,"yyyy-mm")</f>
      </c>
      <c r="G39">
        <f>IF(B39="支出",IFERROR(VLOOKUP(C39,設定!$A$2:$B$200,2,FALSE),"その他"),"")</f>
      </c>
      <c r="H39">
        <f>IF(B39="支出",IFERROR(VLOOKUP(C39,設定!$A$2:$C$200,3,FALSE),FALSE),FALSE)</f>
      </c>
    </row>
    <row r="40" spans="1:8" x14ac:dyDescent="0.25">
      <c r="A40" s="5">
        <v>46260.625</v>
      </c>
      <c r="B40" t="s">
        <v>12</v>
      </c>
      <c r="C40" t="s">
        <v>25</v>
      </c>
      <c r="D40" s="2">
        <v>600</v>
      </c>
      <c r="E40" t="s">
        <v>37</v>
      </c>
      <c r="F40">
        <f>TEXT(A40,"yyyy-mm")</f>
      </c>
      <c r="G40">
        <f>IF(B40="支出",IFERROR(VLOOKUP(C40,設定!$A$2:$B$200,2,FALSE),"その他"),"")</f>
      </c>
      <c r="H40">
        <f>IF(B40="支出",IFERROR(VLOOKUP(C40,設定!$A$2:$C$200,3,FALSE),FALSE),FALSE)</f>
      </c>
    </row>
    <row r="41" spans="1:8" x14ac:dyDescent="0.25">
      <c r="A41" s="5">
        <v>46260.625</v>
      </c>
      <c r="B41" t="s">
        <v>12</v>
      </c>
      <c r="C41" t="s">
        <v>25</v>
      </c>
      <c r="D41" s="2">
        <v>11763</v>
      </c>
      <c r="E41" t="s">
        <v>38</v>
      </c>
      <c r="F41">
        <f>TEXT(A41,"yyyy-mm")</f>
      </c>
      <c r="G41">
        <f>IF(B41="支出",IFERROR(VLOOKUP(C41,設定!$A$2:$B$200,2,FALSE),"その他"),"")</f>
      </c>
      <c r="H41">
        <f>IF(B41="支出",IFERROR(VLOOKUP(C41,設定!$A$2:$C$200,3,FALSE),FALSE),FALSE)</f>
      </c>
    </row>
    <row r="42" spans="1:8" x14ac:dyDescent="0.25">
      <c r="A42" s="5">
        <v>46260.625</v>
      </c>
      <c r="B42" t="s">
        <v>12</v>
      </c>
      <c r="C42" t="s">
        <v>25</v>
      </c>
      <c r="D42" s="2">
        <v>5130</v>
      </c>
      <c r="E42" t="s">
        <v>39</v>
      </c>
      <c r="F42">
        <f>TEXT(A42,"yyyy-mm")</f>
      </c>
      <c r="G42">
        <f>IF(B42="支出",IFERROR(VLOOKUP(C42,設定!$A$2:$B$200,2,FALSE),"その他"),"")</f>
      </c>
      <c r="H42">
        <f>IF(B42="支出",IFERROR(VLOOKUP(C42,設定!$A$2:$C$200,3,FALSE),FALSE),FALSE)</f>
      </c>
    </row>
    <row r="43" spans="1:8" x14ac:dyDescent="0.25">
      <c r="A43" s="5">
        <v>46260.625</v>
      </c>
      <c r="B43" t="s">
        <v>12</v>
      </c>
      <c r="C43" t="s">
        <v>40</v>
      </c>
      <c r="D43" s="2">
        <v>37737</v>
      </c>
      <c r="E43" t="s">
        <v>41</v>
      </c>
      <c r="F43">
        <f>TEXT(A43,"yyyy-mm")</f>
      </c>
      <c r="G43">
        <f>IF(B43="支出",IFERROR(VLOOKUP(C43,設定!$A$2:$B$200,2,FALSE),"その他"),"")</f>
      </c>
      <c r="H43">
        <f>IF(B43="支出",IFERROR(VLOOKUP(C43,設定!$A$2:$C$200,3,FALSE),FALSE),FALSE)</f>
      </c>
    </row>
    <row r="44" spans="1:8" x14ac:dyDescent="0.25">
      <c r="A44" s="5">
        <v>46260.625</v>
      </c>
      <c r="B44" t="s">
        <v>12</v>
      </c>
      <c r="C44" t="s">
        <v>40</v>
      </c>
      <c r="D44" s="2">
        <v>559</v>
      </c>
      <c r="E44" t="s">
        <v>41</v>
      </c>
      <c r="F44">
        <f>TEXT(A44,"yyyy-mm")</f>
      </c>
      <c r="G44">
        <f>IF(B44="支出",IFERROR(VLOOKUP(C44,設定!$A$2:$B$200,2,FALSE),"その他"),"")</f>
      </c>
      <c r="H44">
        <f>IF(B44="支出",IFERROR(VLOOKUP(C44,設定!$A$2:$C$200,3,FALSE),FALSE),FALSE)</f>
      </c>
    </row>
    <row r="45" spans="1:8" x14ac:dyDescent="0.25">
      <c r="A45" s="5">
        <v>46260.625</v>
      </c>
      <c r="B45" t="s">
        <v>12</v>
      </c>
      <c r="C45" t="s">
        <v>40</v>
      </c>
      <c r="D45" s="2">
        <v>12325</v>
      </c>
      <c r="E45" t="s">
        <v>41</v>
      </c>
      <c r="F45">
        <f>TEXT(A45,"yyyy-mm")</f>
      </c>
      <c r="G45">
        <f>IF(B45="支出",IFERROR(VLOOKUP(C45,設定!$A$2:$B$200,2,FALSE),"その他"),"")</f>
      </c>
      <c r="H45">
        <f>IF(B45="支出",IFERROR(VLOOKUP(C45,設定!$A$2:$C$200,3,FALSE),FALSE),FALSE)</f>
      </c>
    </row>
    <row r="46" spans="1:8" x14ac:dyDescent="0.25">
      <c r="A46" s="5">
        <v>46260.625</v>
      </c>
      <c r="B46" t="s">
        <v>12</v>
      </c>
      <c r="C46" t="s">
        <v>25</v>
      </c>
      <c r="D46" s="2">
        <v>390</v>
      </c>
      <c r="E46" t="s">
        <v>37</v>
      </c>
      <c r="F46">
        <f>TEXT(A46,"yyyy-mm")</f>
      </c>
      <c r="G46">
        <f>IF(B46="支出",IFERROR(VLOOKUP(C46,設定!$A$2:$B$200,2,FALSE),"その他"),"")</f>
      </c>
      <c r="H46">
        <f>IF(B46="支出",IFERROR(VLOOKUP(C46,設定!$A$2:$C$200,3,FALSE),FALSE),FALSE)</f>
      </c>
    </row>
    <row r="47" spans="1:8" x14ac:dyDescent="0.25">
      <c r="A47" s="5">
        <v>46260.625</v>
      </c>
      <c r="B47" t="s">
        <v>12</v>
      </c>
      <c r="C47" t="s">
        <v>25</v>
      </c>
      <c r="D47" s="2">
        <v>385</v>
      </c>
      <c r="E47" t="s">
        <v>42</v>
      </c>
      <c r="F47">
        <f>TEXT(A47,"yyyy-mm")</f>
      </c>
      <c r="G47">
        <f>IF(B47="支出",IFERROR(VLOOKUP(C47,設定!$A$2:$B$200,2,FALSE),"その他"),"")</f>
      </c>
      <c r="H47">
        <f>IF(B47="支出",IFERROR(VLOOKUP(C47,設定!$A$2:$C$200,3,FALSE),FALSE),FALSE)</f>
      </c>
    </row>
    <row r="48" spans="1:8" x14ac:dyDescent="0.25">
      <c r="A48" s="5">
        <v>46260.625</v>
      </c>
      <c r="B48" t="s">
        <v>20</v>
      </c>
      <c r="C48" t="s">
        <v>25</v>
      </c>
      <c r="D48" s="2">
        <v>97999</v>
      </c>
      <c r="E48" t="s">
        <v>43</v>
      </c>
      <c r="F48">
        <f>TEXT(A48,"yyyy-mm")</f>
      </c>
      <c r="G48">
        <f>IF(B48="支出",IFERROR(VLOOKUP(C48,設定!$A$2:$B$200,2,FALSE),"その他"),"")</f>
      </c>
      <c r="H48">
        <f>IF(B48="支出",IFERROR(VLOOKUP(C48,設定!$A$2:$C$200,3,FALSE),FALSE),FALSE)</f>
      </c>
    </row>
    <row r="49" spans="1:8" x14ac:dyDescent="0.25">
      <c r="A49" s="5">
        <v>46260.625</v>
      </c>
      <c r="B49" t="s">
        <v>12</v>
      </c>
      <c r="C49" t="s">
        <v>25</v>
      </c>
      <c r="D49" s="2">
        <v>30400</v>
      </c>
      <c r="E49" t="s">
        <v>37</v>
      </c>
      <c r="F49">
        <f>TEXT(A49,"yyyy-mm")</f>
      </c>
      <c r="G49">
        <f>IF(B49="支出",IFERROR(VLOOKUP(C49,設定!$A$2:$B$200,2,FALSE),"その他"),"")</f>
      </c>
      <c r="H49">
        <f>IF(B49="支出",IFERROR(VLOOKUP(C49,設定!$A$2:$C$200,3,FALSE),FALSE),FALSE)</f>
      </c>
    </row>
    <row r="50" spans="1:8" x14ac:dyDescent="0.25">
      <c r="A50" s="5">
        <v>46260.625</v>
      </c>
      <c r="B50" t="s">
        <v>12</v>
      </c>
      <c r="C50" t="s">
        <v>25</v>
      </c>
      <c r="D50" s="2">
        <v>390</v>
      </c>
      <c r="E50" t="s">
        <v>37</v>
      </c>
      <c r="F50">
        <f>TEXT(A50,"yyyy-mm")</f>
      </c>
      <c r="G50">
        <f>IF(B50="支出",IFERROR(VLOOKUP(C50,設定!$A$2:$B$200,2,FALSE),"その他"),"")</f>
      </c>
      <c r="H50">
        <f>IF(B50="支出",IFERROR(VLOOKUP(C50,設定!$A$2:$C$200,3,FALSE),FALSE),FALSE)</f>
      </c>
    </row>
    <row r="51" spans="1:8" x14ac:dyDescent="0.25">
      <c r="A51" s="5">
        <v>46260.625</v>
      </c>
      <c r="B51" t="s">
        <v>12</v>
      </c>
      <c r="C51" t="s">
        <v>25</v>
      </c>
      <c r="D51" s="2">
        <v>3408</v>
      </c>
      <c r="E51" t="s">
        <v>44</v>
      </c>
      <c r="F51">
        <f>TEXT(A51,"yyyy-mm")</f>
      </c>
      <c r="G51">
        <f>IF(B51="支出",IFERROR(VLOOKUP(C51,設定!$A$2:$B$200,2,FALSE),"その他"),"")</f>
      </c>
      <c r="H51">
        <f>IF(B51="支出",IFERROR(VLOOKUP(C51,設定!$A$2:$C$200,3,FALSE),FALSE),FALSE)</f>
      </c>
    </row>
    <row r="52" spans="1:8" x14ac:dyDescent="0.25">
      <c r="A52" s="5">
        <v>46260.625</v>
      </c>
      <c r="B52" t="s">
        <v>12</v>
      </c>
      <c r="C52" t="s">
        <v>25</v>
      </c>
      <c r="D52" s="2">
        <v>9900</v>
      </c>
      <c r="E52" t="s">
        <v>37</v>
      </c>
      <c r="F52">
        <f>TEXT(A52,"yyyy-mm")</f>
      </c>
      <c r="G52">
        <f>IF(B52="支出",IFERROR(VLOOKUP(C52,設定!$A$2:$B$200,2,FALSE),"その他"),"")</f>
      </c>
      <c r="H52">
        <f>IF(B52="支出",IFERROR(VLOOKUP(C52,設定!$A$2:$C$200,3,FALSE),FALSE),FALSE)</f>
      </c>
    </row>
    <row r="53" spans="1:8" x14ac:dyDescent="0.25">
      <c r="A53" s="5">
        <v>46260.625</v>
      </c>
      <c r="B53" t="s">
        <v>12</v>
      </c>
      <c r="C53" t="s">
        <v>45</v>
      </c>
      <c r="D53" s="2">
        <v>2280</v>
      </c>
      <c r="E53" t="s">
        <v>46</v>
      </c>
      <c r="F53">
        <f>TEXT(A53,"yyyy-mm")</f>
      </c>
      <c r="G53">
        <f>IF(B53="支出",IFERROR(VLOOKUP(C53,設定!$A$2:$B$200,2,FALSE),"その他"),"")</f>
      </c>
      <c r="H53">
        <f>IF(B53="支出",IFERROR(VLOOKUP(C53,設定!$A$2:$C$200,3,FALSE),FALSE),FALSE)</f>
      </c>
    </row>
    <row r="54" spans="1:8" x14ac:dyDescent="0.25">
      <c r="A54" s="5">
        <v>46260.625</v>
      </c>
      <c r="B54" t="s">
        <v>12</v>
      </c>
      <c r="C54" t="s">
        <v>45</v>
      </c>
      <c r="D54" s="2">
        <v>1180</v>
      </c>
      <c r="E54" t="s">
        <v>47</v>
      </c>
      <c r="F54">
        <f>TEXT(A54,"yyyy-mm")</f>
      </c>
      <c r="G54">
        <f>IF(B54="支出",IFERROR(VLOOKUP(C54,設定!$A$2:$B$200,2,FALSE),"その他"),"")</f>
      </c>
      <c r="H54">
        <f>IF(B54="支出",IFERROR(VLOOKUP(C54,設定!$A$2:$C$200,3,FALSE),FALSE),FALSE)</f>
      </c>
    </row>
    <row r="55" spans="1:8" x14ac:dyDescent="0.25">
      <c r="A55" s="5">
        <v>46260.625</v>
      </c>
      <c r="B55" t="s">
        <v>12</v>
      </c>
      <c r="C55" t="s">
        <v>45</v>
      </c>
      <c r="D55" s="2">
        <v>7009</v>
      </c>
      <c r="E55" t="s">
        <v>48</v>
      </c>
      <c r="F55">
        <f>TEXT(A55,"yyyy-mm")</f>
      </c>
      <c r="G55">
        <f>IF(B55="支出",IFERROR(VLOOKUP(C55,設定!$A$2:$B$200,2,FALSE),"その他"),"")</f>
      </c>
      <c r="H55">
        <f>IF(B55="支出",IFERROR(VLOOKUP(C55,設定!$A$2:$C$200,3,FALSE),FALSE),FALSE)</f>
      </c>
    </row>
    <row r="56" spans="1:8" x14ac:dyDescent="0.25">
      <c r="A56" s="5">
        <v>46260.625</v>
      </c>
      <c r="B56" t="s">
        <v>12</v>
      </c>
      <c r="C56" t="s">
        <v>45</v>
      </c>
      <c r="D56" s="2">
        <v>2189</v>
      </c>
      <c r="E56" t="s">
        <v>49</v>
      </c>
      <c r="F56">
        <f>TEXT(A56,"yyyy-mm")</f>
      </c>
      <c r="G56">
        <f>IF(B56="支出",IFERROR(VLOOKUP(C56,設定!$A$2:$B$200,2,FALSE),"その他"),"")</f>
      </c>
      <c r="H56">
        <f>IF(B56="支出",IFERROR(VLOOKUP(C56,設定!$A$2:$C$200,3,FALSE),FALSE),FALSE)</f>
      </c>
    </row>
    <row r="57" spans="1:8" x14ac:dyDescent="0.25">
      <c r="A57" s="5">
        <v>46260.625</v>
      </c>
      <c r="B57" t="s">
        <v>20</v>
      </c>
      <c r="C57" t="s">
        <v>25</v>
      </c>
      <c r="D57" s="2">
        <v>56756</v>
      </c>
      <c r="E57" t="s">
        <v>50</v>
      </c>
      <c r="F57">
        <f>TEXT(A57,"yyyy-mm")</f>
      </c>
      <c r="G57">
        <f>IF(B57="支出",IFERROR(VLOOKUP(C57,設定!$A$2:$B$200,2,FALSE),"その他"),"")</f>
      </c>
      <c r="H57">
        <f>IF(B57="支出",IFERROR(VLOOKUP(C57,設定!$A$2:$C$200,3,FALSE),FALSE),FALSE)</f>
      </c>
    </row>
    <row r="58" spans="1:8" x14ac:dyDescent="0.25">
      <c r="A58" s="5">
        <v>46260.625</v>
      </c>
      <c r="B58" t="s">
        <v>12</v>
      </c>
      <c r="C58" t="s">
        <v>25</v>
      </c>
      <c r="D58" s="2">
        <v>28100</v>
      </c>
      <c r="E58" t="s">
        <v>51</v>
      </c>
      <c r="F58">
        <f>TEXT(A58,"yyyy-mm")</f>
      </c>
      <c r="G58">
        <f>IF(B58="支出",IFERROR(VLOOKUP(C58,設定!$A$2:$B$200,2,FALSE),"その他"),"")</f>
      </c>
      <c r="H58">
        <f>IF(B58="支出",IFERROR(VLOOKUP(C58,設定!$A$2:$C$200,3,FALSE),FALSE),FALSE)</f>
      </c>
    </row>
    <row r="59" spans="1:8" x14ac:dyDescent="0.25">
      <c r="A59" s="5">
        <v>46260.625</v>
      </c>
      <c r="B59" t="s">
        <v>20</v>
      </c>
      <c r="C59" t="s">
        <v>25</v>
      </c>
      <c r="D59" s="2">
        <v>28100</v>
      </c>
      <c r="E59" t="s">
        <v>51</v>
      </c>
      <c r="F59">
        <f>TEXT(A59,"yyyy-mm")</f>
      </c>
      <c r="G59">
        <f>IF(B59="支出",IFERROR(VLOOKUP(C59,設定!$A$2:$B$200,2,FALSE),"その他"),"")</f>
      </c>
      <c r="H59">
        <f>IF(B59="支出",IFERROR(VLOOKUP(C59,設定!$A$2:$C$200,3,FALSE),FALSE),FALSE)</f>
      </c>
    </row>
    <row r="60" spans="1:8" x14ac:dyDescent="0.25">
      <c r="A60" s="5">
        <v>46260.625</v>
      </c>
      <c r="B60" t="s">
        <v>20</v>
      </c>
      <c r="C60" t="s">
        <v>21</v>
      </c>
      <c r="D60" s="2">
        <v>10000</v>
      </c>
      <c r="E60" t="s">
        <v>22</v>
      </c>
      <c r="F60">
        <f>TEXT(A60,"yyyy-mm")</f>
      </c>
      <c r="G60">
        <f>IF(B60="支出",IFERROR(VLOOKUP(C60,設定!$A$2:$B$200,2,FALSE),"その他"),"")</f>
      </c>
      <c r="H60">
        <f>IF(B60="支出",IFERROR(VLOOKUP(C60,設定!$A$2:$C$200,3,FALSE),FALSE),FALSE)</f>
      </c>
    </row>
    <row r="61" spans="1:8" x14ac:dyDescent="0.25">
      <c r="A61" s="5">
        <v>46259.625</v>
      </c>
      <c r="B61" t="s">
        <v>12</v>
      </c>
      <c r="C61" t="s">
        <v>27</v>
      </c>
      <c r="D61" s="2">
        <v>11963</v>
      </c>
      <c r="E61" t="s">
        <v>52</v>
      </c>
      <c r="F61">
        <f>TEXT(A61,"yyyy-mm")</f>
      </c>
      <c r="G61">
        <f>IF(B61="支出",IFERROR(VLOOKUP(C61,設定!$A$2:$B$200,2,FALSE),"その他"),"")</f>
      </c>
      <c r="H61">
        <f>IF(B61="支出",IFERROR(VLOOKUP(C61,設定!$A$2:$C$200,3,FALSE),FALSE),FALSE)</f>
      </c>
    </row>
    <row r="62" spans="1:8" x14ac:dyDescent="0.25">
      <c r="A62" s="5">
        <v>46259.625</v>
      </c>
      <c r="B62" t="s">
        <v>20</v>
      </c>
      <c r="C62" t="s">
        <v>27</v>
      </c>
      <c r="D62" s="2">
        <v>11963</v>
      </c>
      <c r="E62" t="s">
        <v>52</v>
      </c>
      <c r="F62">
        <f>TEXT(A62,"yyyy-mm")</f>
      </c>
      <c r="G62">
        <f>IF(B62="支出",IFERROR(VLOOKUP(C62,設定!$A$2:$B$200,2,FALSE),"その他"),"")</f>
      </c>
      <c r="H62">
        <f>IF(B62="支出",IFERROR(VLOOKUP(C62,設定!$A$2:$C$200,3,FALSE),FALSE),FALSE)</f>
      </c>
    </row>
    <row r="63" spans="1:8" x14ac:dyDescent="0.25">
      <c r="A63" s="5">
        <v>46259.625</v>
      </c>
      <c r="B63" t="s">
        <v>12</v>
      </c>
      <c r="C63" t="s">
        <v>53</v>
      </c>
      <c r="D63" s="2">
        <v>3630</v>
      </c>
      <c r="E63" t="s">
        <v>14</v>
      </c>
      <c r="F63">
        <f>TEXT(A63,"yyyy-mm")</f>
      </c>
      <c r="G63">
        <f>IF(B63="支出",IFERROR(VLOOKUP(C63,設定!$A$2:$B$200,2,FALSE),"その他"),"")</f>
      </c>
      <c r="H63">
        <f>IF(B63="支出",IFERROR(VLOOKUP(C63,設定!$A$2:$C$200,3,FALSE),FALSE),FALSE)</f>
      </c>
    </row>
    <row r="64" spans="1:8" x14ac:dyDescent="0.25">
      <c r="A64" s="5">
        <v>46259.625</v>
      </c>
      <c r="B64" t="s">
        <v>12</v>
      </c>
      <c r="C64" t="s">
        <v>16</v>
      </c>
      <c r="D64" s="2">
        <v>1408</v>
      </c>
      <c r="E64" t="s">
        <v>14</v>
      </c>
      <c r="F64">
        <f>TEXT(A64,"yyyy-mm")</f>
      </c>
      <c r="G64">
        <f>IF(B64="支出",IFERROR(VLOOKUP(C64,設定!$A$2:$B$200,2,FALSE),"その他"),"")</f>
      </c>
      <c r="H64">
        <f>IF(B64="支出",IFERROR(VLOOKUP(C64,設定!$A$2:$C$200,3,FALSE),FALSE),FALSE)</f>
      </c>
    </row>
    <row r="65" spans="1:8" x14ac:dyDescent="0.25">
      <c r="A65" s="5">
        <v>46259.625</v>
      </c>
      <c r="B65" t="s">
        <v>12</v>
      </c>
      <c r="C65" t="s">
        <v>18</v>
      </c>
      <c r="D65" s="2">
        <v>865</v>
      </c>
      <c r="E65" t="s">
        <v>14</v>
      </c>
      <c r="F65">
        <f>TEXT(A65,"yyyy-mm")</f>
      </c>
      <c r="G65">
        <f>IF(B65="支出",IFERROR(VLOOKUP(C65,設定!$A$2:$B$200,2,FALSE),"その他"),"")</f>
      </c>
      <c r="H65">
        <f>IF(B65="支出",IFERROR(VLOOKUP(C65,設定!$A$2:$C$200,3,FALSE),FALSE),FALSE)</f>
      </c>
    </row>
    <row r="66" spans="1:8" x14ac:dyDescent="0.25">
      <c r="A66" s="5">
        <v>46259.625</v>
      </c>
      <c r="B66" t="s">
        <v>12</v>
      </c>
      <c r="C66" t="s">
        <v>24</v>
      </c>
      <c r="D66" s="2">
        <v>556</v>
      </c>
      <c r="E66" t="s">
        <v>14</v>
      </c>
      <c r="F66">
        <f>TEXT(A66,"yyyy-mm")</f>
      </c>
      <c r="G66">
        <f>IF(B66="支出",IFERROR(VLOOKUP(C66,設定!$A$2:$B$200,2,FALSE),"その他"),"")</f>
      </c>
      <c r="H66">
        <f>IF(B66="支出",IFERROR(VLOOKUP(C66,設定!$A$2:$C$200,3,FALSE),FALSE),FALSE)</f>
      </c>
    </row>
    <row r="67" spans="1:8" x14ac:dyDescent="0.25">
      <c r="A67" s="5">
        <v>46259.625</v>
      </c>
      <c r="B67" t="s">
        <v>12</v>
      </c>
      <c r="C67" t="s">
        <v>15</v>
      </c>
      <c r="D67" s="2">
        <v>531</v>
      </c>
      <c r="E67" t="s">
        <v>14</v>
      </c>
      <c r="F67">
        <f>TEXT(A67,"yyyy-mm")</f>
      </c>
      <c r="G67">
        <f>IF(B67="支出",IFERROR(VLOOKUP(C67,設定!$A$2:$B$200,2,FALSE),"その他"),"")</f>
      </c>
      <c r="H67">
        <f>IF(B67="支出",IFERROR(VLOOKUP(C67,設定!$A$2:$C$200,3,FALSE),FALSE),FALSE)</f>
      </c>
    </row>
    <row r="68" spans="1:8" x14ac:dyDescent="0.25">
      <c r="A68" s="5">
        <v>46258.625</v>
      </c>
      <c r="B68" t="s">
        <v>12</v>
      </c>
      <c r="C68" t="s">
        <v>45</v>
      </c>
      <c r="D68" s="2">
        <v>8176</v>
      </c>
      <c r="E68" t="s">
        <v>54</v>
      </c>
      <c r="F68">
        <f>TEXT(A68,"yyyy-mm")</f>
      </c>
      <c r="G68">
        <f>IF(B68="支出",IFERROR(VLOOKUP(C68,設定!$A$2:$B$200,2,FALSE),"その他"),"")</f>
      </c>
      <c r="H68">
        <f>IF(B68="支出",IFERROR(VLOOKUP(C68,設定!$A$2:$C$200,3,FALSE),FALSE),FALSE)</f>
      </c>
    </row>
    <row r="69" spans="1:8" x14ac:dyDescent="0.25">
      <c r="A69" s="5">
        <v>46258.625</v>
      </c>
      <c r="B69" t="s">
        <v>20</v>
      </c>
      <c r="C69" t="s">
        <v>45</v>
      </c>
      <c r="D69" s="2">
        <v>8176</v>
      </c>
      <c r="E69" t="s">
        <v>54</v>
      </c>
      <c r="F69">
        <f>TEXT(A69,"yyyy-mm")</f>
      </c>
      <c r="G69">
        <f>IF(B69="支出",IFERROR(VLOOKUP(C69,設定!$A$2:$B$200,2,FALSE),"その他"),"")</f>
      </c>
      <c r="H69">
        <f>IF(B69="支出",IFERROR(VLOOKUP(C69,設定!$A$2:$C$200,3,FALSE),FALSE),FALSE)</f>
      </c>
    </row>
    <row r="70" spans="1:8" x14ac:dyDescent="0.25">
      <c r="A70" s="5">
        <v>46258.625</v>
      </c>
      <c r="B70" t="s">
        <v>12</v>
      </c>
      <c r="C70" t="s">
        <v>19</v>
      </c>
      <c r="D70" s="2">
        <v>800</v>
      </c>
      <c r="E70" t="s">
        <v>14</v>
      </c>
      <c r="F70">
        <f>TEXT(A70,"yyyy-mm")</f>
      </c>
      <c r="G70">
        <f>IF(B70="支出",IFERROR(VLOOKUP(C70,設定!$A$2:$B$200,2,FALSE),"その他"),"")</f>
      </c>
      <c r="H70">
        <f>IF(B70="支出",IFERROR(VLOOKUP(C70,設定!$A$2:$C$200,3,FALSE),FALSE),FALSE)</f>
      </c>
    </row>
    <row r="71" spans="1:8" x14ac:dyDescent="0.25">
      <c r="A71" s="5">
        <v>46258.625</v>
      </c>
      <c r="B71" t="s">
        <v>12</v>
      </c>
      <c r="C71" t="s">
        <v>17</v>
      </c>
      <c r="D71" s="2">
        <v>2328</v>
      </c>
      <c r="E71" t="s">
        <v>14</v>
      </c>
      <c r="F71">
        <f>TEXT(A71,"yyyy-mm")</f>
      </c>
      <c r="G71">
        <f>IF(B71="支出",IFERROR(VLOOKUP(C71,設定!$A$2:$B$200,2,FALSE),"その他"),"")</f>
      </c>
      <c r="H71">
        <f>IF(B71="支出",IFERROR(VLOOKUP(C71,設定!$A$2:$C$200,3,FALSE),FALSE),FALSE)</f>
      </c>
    </row>
    <row r="72" spans="1:8" x14ac:dyDescent="0.25">
      <c r="A72" s="5">
        <v>46258.625</v>
      </c>
      <c r="B72" t="s">
        <v>12</v>
      </c>
      <c r="C72" t="s">
        <v>24</v>
      </c>
      <c r="D72" s="2">
        <v>319</v>
      </c>
      <c r="E72" t="s">
        <v>14</v>
      </c>
      <c r="F72">
        <f>TEXT(A72,"yyyy-mm")</f>
      </c>
      <c r="G72">
        <f>IF(B72="支出",IFERROR(VLOOKUP(C72,設定!$A$2:$B$200,2,FALSE),"その他"),"")</f>
      </c>
      <c r="H72">
        <f>IF(B72="支出",IFERROR(VLOOKUP(C72,設定!$A$2:$C$200,3,FALSE),FALSE),FALSE)</f>
      </c>
    </row>
    <row r="73" spans="1:8" x14ac:dyDescent="0.25">
      <c r="A73" s="5">
        <v>46258.625</v>
      </c>
      <c r="B73" t="s">
        <v>12</v>
      </c>
      <c r="C73" t="s">
        <v>15</v>
      </c>
      <c r="D73" s="2">
        <v>414</v>
      </c>
      <c r="E73" t="s">
        <v>14</v>
      </c>
      <c r="F73">
        <f>TEXT(A73,"yyyy-mm")</f>
      </c>
      <c r="G73">
        <f>IF(B73="支出",IFERROR(VLOOKUP(C73,設定!$A$2:$B$200,2,FALSE),"その他"),"")</f>
      </c>
      <c r="H73">
        <f>IF(B73="支出",IFERROR(VLOOKUP(C73,設定!$A$2:$C$200,3,FALSE),FALSE),FALSE)</f>
      </c>
    </row>
    <row r="74" spans="1:8" x14ac:dyDescent="0.25">
      <c r="A74" s="5">
        <v>46258.625</v>
      </c>
      <c r="B74" t="s">
        <v>12</v>
      </c>
      <c r="C74" t="s">
        <v>18</v>
      </c>
      <c r="D74" s="2">
        <v>1161</v>
      </c>
      <c r="E74" t="s">
        <v>14</v>
      </c>
      <c r="F74">
        <f>TEXT(A74,"yyyy-mm")</f>
      </c>
      <c r="G74">
        <f>IF(B74="支出",IFERROR(VLOOKUP(C74,設定!$A$2:$B$200,2,FALSE),"その他"),"")</f>
      </c>
      <c r="H74">
        <f>IF(B74="支出",IFERROR(VLOOKUP(C74,設定!$A$2:$C$200,3,FALSE),FALSE),FALSE)</f>
      </c>
    </row>
    <row r="75" spans="1:8" x14ac:dyDescent="0.25">
      <c r="A75" s="5">
        <v>46258.625</v>
      </c>
      <c r="B75" t="s">
        <v>12</v>
      </c>
      <c r="C75" t="s">
        <v>16</v>
      </c>
      <c r="D75" s="2">
        <v>5683</v>
      </c>
      <c r="E75" t="s">
        <v>14</v>
      </c>
      <c r="F75">
        <f>TEXT(A75,"yyyy-mm")</f>
      </c>
      <c r="G75">
        <f>IF(B75="支出",IFERROR(VLOOKUP(C75,設定!$A$2:$B$200,2,FALSE),"その他"),"")</f>
      </c>
      <c r="H75">
        <f>IF(B75="支出",IFERROR(VLOOKUP(C75,設定!$A$2:$C$200,3,FALSE),FALSE),FALSE)</f>
      </c>
    </row>
    <row r="76" spans="1:8" x14ac:dyDescent="0.25">
      <c r="A76" s="5">
        <v>46258.625</v>
      </c>
      <c r="B76" t="s">
        <v>12</v>
      </c>
      <c r="C76" t="s">
        <v>23</v>
      </c>
      <c r="D76" s="2">
        <v>943</v>
      </c>
      <c r="E76" t="s">
        <v>14</v>
      </c>
      <c r="F76">
        <f>TEXT(A76,"yyyy-mm")</f>
      </c>
      <c r="G76">
        <f>IF(B76="支出",IFERROR(VLOOKUP(C76,設定!$A$2:$B$200,2,FALSE),"その他"),"")</f>
      </c>
      <c r="H76">
        <f>IF(B76="支出",IFERROR(VLOOKUP(C76,設定!$A$2:$C$200,3,FALSE),FALSE),FALSE)</f>
      </c>
    </row>
    <row r="77" spans="1:8" x14ac:dyDescent="0.25">
      <c r="A77" s="5">
        <v>46258.625</v>
      </c>
      <c r="B77" t="s">
        <v>12</v>
      </c>
      <c r="C77" t="s">
        <v>13</v>
      </c>
      <c r="D77" s="2">
        <v>1303</v>
      </c>
      <c r="E77" t="s">
        <v>14</v>
      </c>
      <c r="F77">
        <f>TEXT(A77,"yyyy-mm")</f>
      </c>
      <c r="G77">
        <f>IF(B77="支出",IFERROR(VLOOKUP(C77,設定!$A$2:$B$200,2,FALSE),"その他"),"")</f>
      </c>
      <c r="H77">
        <f>IF(B77="支出",IFERROR(VLOOKUP(C77,設定!$A$2:$C$200,3,FALSE),FALSE),FALSE)</f>
      </c>
    </row>
    <row r="78" spans="1:8" x14ac:dyDescent="0.25">
      <c r="A78" s="5">
        <v>46257.625</v>
      </c>
      <c r="B78" t="s">
        <v>12</v>
      </c>
      <c r="C78" t="s">
        <v>29</v>
      </c>
      <c r="D78" s="2">
        <v>10320</v>
      </c>
      <c r="E78" t="s">
        <v>55</v>
      </c>
      <c r="F78">
        <f>TEXT(A78,"yyyy-mm")</f>
      </c>
      <c r="G78">
        <f>IF(B78="支出",IFERROR(VLOOKUP(C78,設定!$A$2:$B$200,2,FALSE),"その他"),"")</f>
      </c>
      <c r="H78">
        <f>IF(B78="支出",IFERROR(VLOOKUP(C78,設定!$A$2:$C$200,3,FALSE),FALSE),FALSE)</f>
      </c>
    </row>
    <row r="79" spans="1:8" x14ac:dyDescent="0.25">
      <c r="A79" s="5">
        <v>46257.625</v>
      </c>
      <c r="B79" t="s">
        <v>12</v>
      </c>
      <c r="C79" t="s">
        <v>16</v>
      </c>
      <c r="D79" s="2">
        <v>768</v>
      </c>
      <c r="E79" t="s">
        <v>14</v>
      </c>
      <c r="F79">
        <f>TEXT(A79,"yyyy-mm")</f>
      </c>
      <c r="G79">
        <f>IF(B79="支出",IFERROR(VLOOKUP(C79,設定!$A$2:$B$200,2,FALSE),"その他"),"")</f>
      </c>
      <c r="H79">
        <f>IF(B79="支出",IFERROR(VLOOKUP(C79,設定!$A$2:$C$200,3,FALSE),FALSE),FALSE)</f>
      </c>
    </row>
    <row r="80" spans="1:8" x14ac:dyDescent="0.25">
      <c r="A80" s="5">
        <v>46257.625</v>
      </c>
      <c r="B80" t="s">
        <v>12</v>
      </c>
      <c r="C80" t="s">
        <v>24</v>
      </c>
      <c r="D80" s="2">
        <v>740</v>
      </c>
      <c r="E80" t="s">
        <v>14</v>
      </c>
      <c r="F80">
        <f>TEXT(A80,"yyyy-mm")</f>
      </c>
      <c r="G80">
        <f>IF(B80="支出",IFERROR(VLOOKUP(C80,設定!$A$2:$B$200,2,FALSE),"その他"),"")</f>
      </c>
      <c r="H80">
        <f>IF(B80="支出",IFERROR(VLOOKUP(C80,設定!$A$2:$C$200,3,FALSE),FALSE),FALSE)</f>
      </c>
    </row>
    <row r="81" spans="1:8" x14ac:dyDescent="0.25">
      <c r="A81" s="5">
        <v>46257.625</v>
      </c>
      <c r="B81" t="s">
        <v>12</v>
      </c>
      <c r="C81" t="s">
        <v>15</v>
      </c>
      <c r="D81" s="2">
        <v>1345</v>
      </c>
      <c r="E81" t="s">
        <v>14</v>
      </c>
      <c r="F81">
        <f>TEXT(A81,"yyyy-mm")</f>
      </c>
      <c r="G81">
        <f>IF(B81="支出",IFERROR(VLOOKUP(C81,設定!$A$2:$B$200,2,FALSE),"その他"),"")</f>
      </c>
      <c r="H81">
        <f>IF(B81="支出",IFERROR(VLOOKUP(C81,設定!$A$2:$C$200,3,FALSE),FALSE),FALSE)</f>
      </c>
    </row>
    <row r="82" spans="1:8" x14ac:dyDescent="0.25">
      <c r="A82" s="5">
        <v>46257.625</v>
      </c>
      <c r="B82" t="s">
        <v>12</v>
      </c>
      <c r="C82" t="s">
        <v>18</v>
      </c>
      <c r="D82" s="2">
        <v>15320</v>
      </c>
      <c r="E82" t="s">
        <v>14</v>
      </c>
      <c r="F82">
        <f>TEXT(A82,"yyyy-mm")</f>
      </c>
      <c r="G82">
        <f>IF(B82="支出",IFERROR(VLOOKUP(C82,設定!$A$2:$B$200,2,FALSE),"その他"),"")</f>
      </c>
      <c r="H82">
        <f>IF(B82="支出",IFERROR(VLOOKUP(C82,設定!$A$2:$C$200,3,FALSE),FALSE),FALSE)</f>
      </c>
    </row>
    <row r="83" spans="1:8" x14ac:dyDescent="0.25">
      <c r="A83" s="5">
        <v>46257.625</v>
      </c>
      <c r="B83" t="s">
        <v>12</v>
      </c>
      <c r="C83" t="s">
        <v>27</v>
      </c>
      <c r="D83" s="2">
        <v>3146</v>
      </c>
      <c r="E83" t="s">
        <v>14</v>
      </c>
      <c r="F83">
        <f>TEXT(A83,"yyyy-mm")</f>
      </c>
      <c r="G83">
        <f>IF(B83="支出",IFERROR(VLOOKUP(C83,設定!$A$2:$B$200,2,FALSE),"その他"),"")</f>
      </c>
      <c r="H83">
        <f>IF(B83="支出",IFERROR(VLOOKUP(C83,設定!$A$2:$C$200,3,FALSE),FALSE),FALSE)</f>
      </c>
    </row>
    <row r="84" spans="1:8" x14ac:dyDescent="0.25">
      <c r="A84" s="5">
        <v>46257.625</v>
      </c>
      <c r="B84" t="s">
        <v>12</v>
      </c>
      <c r="C84" t="s">
        <v>40</v>
      </c>
      <c r="D84" s="2">
        <v>6485</v>
      </c>
      <c r="E84" t="s">
        <v>56</v>
      </c>
      <c r="F84">
        <f>TEXT(A84,"yyyy-mm")</f>
      </c>
      <c r="G84">
        <f>IF(B84="支出",IFERROR(VLOOKUP(C84,設定!$A$2:$B$200,2,FALSE),"その他"),"")</f>
      </c>
      <c r="H84">
        <f>IF(B84="支出",IFERROR(VLOOKUP(C84,設定!$A$2:$C$200,3,FALSE),FALSE),FALSE)</f>
      </c>
    </row>
    <row r="85" spans="1:8" x14ac:dyDescent="0.25">
      <c r="A85" s="5">
        <v>46257.625</v>
      </c>
      <c r="B85" t="s">
        <v>12</v>
      </c>
      <c r="C85" t="s">
        <v>57</v>
      </c>
      <c r="D85" s="2">
        <v>2000</v>
      </c>
      <c r="E85" t="s">
        <v>58</v>
      </c>
      <c r="F85">
        <f>TEXT(A85,"yyyy-mm")</f>
      </c>
      <c r="G85">
        <f>IF(B85="支出",IFERROR(VLOOKUP(C85,設定!$A$2:$B$200,2,FALSE),"その他"),"")</f>
      </c>
      <c r="H85">
        <f>IF(B85="支出",IFERROR(VLOOKUP(C85,設定!$A$2:$C$200,3,FALSE),FALSE),FALSE)</f>
      </c>
    </row>
    <row r="86" spans="1:8" x14ac:dyDescent="0.25">
      <c r="A86" s="5">
        <v>46257.625</v>
      </c>
      <c r="B86" t="s">
        <v>12</v>
      </c>
      <c r="C86" t="s">
        <v>13</v>
      </c>
      <c r="D86" s="2">
        <v>2488</v>
      </c>
      <c r="E86" t="s">
        <v>28</v>
      </c>
      <c r="F86">
        <f>TEXT(A86,"yyyy-mm")</f>
      </c>
      <c r="G86">
        <f>IF(B86="支出",IFERROR(VLOOKUP(C86,設定!$A$2:$B$200,2,FALSE),"その他"),"")</f>
      </c>
      <c r="H86">
        <f>IF(B86="支出",IFERROR(VLOOKUP(C86,設定!$A$2:$C$200,3,FALSE),FALSE),FALSE)</f>
      </c>
    </row>
    <row r="87" spans="1:8" x14ac:dyDescent="0.25">
      <c r="A87" s="5">
        <v>46257.625</v>
      </c>
      <c r="B87" t="s">
        <v>12</v>
      </c>
      <c r="C87" t="s">
        <v>23</v>
      </c>
      <c r="D87" s="2">
        <v>2922</v>
      </c>
      <c r="E87" t="s">
        <v>28</v>
      </c>
      <c r="F87">
        <f>TEXT(A87,"yyyy-mm")</f>
      </c>
      <c r="G87">
        <f>IF(B87="支出",IFERROR(VLOOKUP(C87,設定!$A$2:$B$200,2,FALSE),"その他"),"")</f>
      </c>
      <c r="H87">
        <f>IF(B87="支出",IFERROR(VLOOKUP(C87,設定!$A$2:$C$200,3,FALSE),FALSE),FALSE)</f>
      </c>
    </row>
    <row r="88" spans="1:8" x14ac:dyDescent="0.25">
      <c r="A88" s="5">
        <v>46257.625</v>
      </c>
      <c r="B88" t="s">
        <v>12</v>
      </c>
      <c r="C88" t="s">
        <v>15</v>
      </c>
      <c r="D88" s="2">
        <v>1521</v>
      </c>
      <c r="E88" t="s">
        <v>28</v>
      </c>
      <c r="F88">
        <f>TEXT(A88,"yyyy-mm")</f>
      </c>
      <c r="G88">
        <f>IF(B88="支出",IFERROR(VLOOKUP(C88,設定!$A$2:$B$200,2,FALSE),"その他"),"")</f>
      </c>
      <c r="H88">
        <f>IF(B88="支出",IFERROR(VLOOKUP(C88,設定!$A$2:$C$200,3,FALSE),FALSE),FALSE)</f>
      </c>
    </row>
    <row r="89" spans="1:8" x14ac:dyDescent="0.25">
      <c r="A89" s="5">
        <v>46257.625</v>
      </c>
      <c r="B89" t="s">
        <v>12</v>
      </c>
      <c r="C89" t="s">
        <v>57</v>
      </c>
      <c r="D89" s="2">
        <v>968</v>
      </c>
      <c r="E89" t="s">
        <v>28</v>
      </c>
      <c r="F89">
        <f>TEXT(A89,"yyyy-mm")</f>
      </c>
      <c r="G89">
        <f>IF(B89="支出",IFERROR(VLOOKUP(C89,設定!$A$2:$B$200,2,FALSE),"その他"),"")</f>
      </c>
      <c r="H89">
        <f>IF(B89="支出",IFERROR(VLOOKUP(C89,設定!$A$2:$C$200,3,FALSE),FALSE),FALSE)</f>
      </c>
    </row>
    <row r="90" spans="1:8" x14ac:dyDescent="0.25">
      <c r="A90" s="5">
        <v>46257.625</v>
      </c>
      <c r="B90" t="s">
        <v>12</v>
      </c>
      <c r="C90" t="s">
        <v>18</v>
      </c>
      <c r="D90" s="2">
        <v>550</v>
      </c>
      <c r="E90" t="s">
        <v>28</v>
      </c>
      <c r="F90">
        <f>TEXT(A90,"yyyy-mm")</f>
      </c>
      <c r="G90">
        <f>IF(B90="支出",IFERROR(VLOOKUP(C90,設定!$A$2:$B$200,2,FALSE),"その他"),"")</f>
      </c>
      <c r="H90">
        <f>IF(B90="支出",IFERROR(VLOOKUP(C90,設定!$A$2:$C$200,3,FALSE),FALSE),FALSE)</f>
      </c>
    </row>
    <row r="91" spans="1:8" x14ac:dyDescent="0.25">
      <c r="A91" s="5">
        <v>46257.625</v>
      </c>
      <c r="B91" t="s">
        <v>20</v>
      </c>
      <c r="C91" t="s">
        <v>25</v>
      </c>
      <c r="D91" s="2">
        <v>8449</v>
      </c>
      <c r="E91" t="s">
        <v>28</v>
      </c>
      <c r="F91">
        <f>TEXT(A91,"yyyy-mm")</f>
      </c>
      <c r="G91">
        <f>IF(B91="支出",IFERROR(VLOOKUP(C91,設定!$A$2:$B$200,2,FALSE),"その他"),"")</f>
      </c>
      <c r="H91">
        <f>IF(B91="支出",IFERROR(VLOOKUP(C91,設定!$A$2:$C$200,3,FALSE),FALSE),FALSE)</f>
      </c>
    </row>
    <row r="92" spans="1:8" x14ac:dyDescent="0.25">
      <c r="A92" s="5">
        <v>46257.625</v>
      </c>
      <c r="B92" t="s">
        <v>20</v>
      </c>
      <c r="C92" t="s">
        <v>25</v>
      </c>
      <c r="D92" s="2">
        <v>60000</v>
      </c>
      <c r="E92" t="s">
        <v>59</v>
      </c>
      <c r="F92">
        <f>TEXT(A92,"yyyy-mm")</f>
      </c>
      <c r="G92">
        <f>IF(B92="支出",IFERROR(VLOOKUP(C92,設定!$A$2:$B$200,2,FALSE),"その他"),"")</f>
      </c>
      <c r="H92">
        <f>IF(B92="支出",IFERROR(VLOOKUP(C92,設定!$A$2:$C$200,3,FALSE),FALSE),FALSE)</f>
      </c>
    </row>
    <row r="93" spans="1:8" x14ac:dyDescent="0.25">
      <c r="A93" s="5">
        <v>46256.625</v>
      </c>
      <c r="B93" t="s">
        <v>12</v>
      </c>
      <c r="C93" t="s">
        <v>16</v>
      </c>
      <c r="D93" s="2">
        <v>968</v>
      </c>
      <c r="E93" t="s">
        <v>14</v>
      </c>
      <c r="F93">
        <f>TEXT(A93,"yyyy-mm")</f>
      </c>
      <c r="G93">
        <f>IF(B93="支出",IFERROR(VLOOKUP(C93,設定!$A$2:$B$200,2,FALSE),"その他"),"")</f>
      </c>
      <c r="H93">
        <f>IF(B93="支出",IFERROR(VLOOKUP(C93,設定!$A$2:$C$200,3,FALSE),FALSE),FALSE)</f>
      </c>
    </row>
    <row r="94" spans="1:8" x14ac:dyDescent="0.25">
      <c r="A94" s="5">
        <v>46256.625</v>
      </c>
      <c r="B94" t="s">
        <v>12</v>
      </c>
      <c r="C94" t="s">
        <v>23</v>
      </c>
      <c r="D94" s="2">
        <v>709</v>
      </c>
      <c r="E94" t="s">
        <v>14</v>
      </c>
      <c r="F94">
        <f>TEXT(A94,"yyyy-mm")</f>
      </c>
      <c r="G94">
        <f>IF(B94="支出",IFERROR(VLOOKUP(C94,設定!$A$2:$B$200,2,FALSE),"その他"),"")</f>
      </c>
      <c r="H94">
        <f>IF(B94="支出",IFERROR(VLOOKUP(C94,設定!$A$2:$C$200,3,FALSE),FALSE),FALSE)</f>
      </c>
    </row>
    <row r="95" spans="1:8" x14ac:dyDescent="0.25">
      <c r="A95" s="5">
        <v>46256.625</v>
      </c>
      <c r="B95" t="s">
        <v>12</v>
      </c>
      <c r="C95" t="s">
        <v>13</v>
      </c>
      <c r="D95" s="2">
        <v>2984</v>
      </c>
      <c r="E95" t="s">
        <v>14</v>
      </c>
      <c r="F95">
        <f>TEXT(A95,"yyyy-mm")</f>
      </c>
      <c r="G95">
        <f>IF(B95="支出",IFERROR(VLOOKUP(C95,設定!$A$2:$B$200,2,FALSE),"その他"),"")</f>
      </c>
      <c r="H95">
        <f>IF(B95="支出",IFERROR(VLOOKUP(C95,設定!$A$2:$C$200,3,FALSE),FALSE),FALSE)</f>
      </c>
    </row>
    <row r="96" spans="1:8" x14ac:dyDescent="0.25">
      <c r="A96" s="5">
        <v>46256.625</v>
      </c>
      <c r="B96" t="s">
        <v>12</v>
      </c>
      <c r="C96" t="s">
        <v>18</v>
      </c>
      <c r="D96" s="2">
        <v>4442</v>
      </c>
      <c r="E96" t="s">
        <v>14</v>
      </c>
      <c r="F96">
        <f>TEXT(A96,"yyyy-mm")</f>
      </c>
      <c r="G96">
        <f>IF(B96="支出",IFERROR(VLOOKUP(C96,設定!$A$2:$B$200,2,FALSE),"その他"),"")</f>
      </c>
      <c r="H96">
        <f>IF(B96="支出",IFERROR(VLOOKUP(C96,設定!$A$2:$C$200,3,FALSE),FALSE),FALSE)</f>
      </c>
    </row>
    <row r="97" spans="1:8" x14ac:dyDescent="0.25">
      <c r="A97" s="5">
        <v>46256.625</v>
      </c>
      <c r="B97" t="s">
        <v>12</v>
      </c>
      <c r="C97" t="s">
        <v>15</v>
      </c>
      <c r="D97" s="2">
        <v>607</v>
      </c>
      <c r="E97" t="s">
        <v>14</v>
      </c>
      <c r="F97">
        <f>TEXT(A97,"yyyy-mm")</f>
      </c>
      <c r="G97">
        <f>IF(B97="支出",IFERROR(VLOOKUP(C97,設定!$A$2:$B$200,2,FALSE),"その他"),"")</f>
      </c>
      <c r="H97">
        <f>IF(B97="支出",IFERROR(VLOOKUP(C97,設定!$A$2:$C$200,3,FALSE),FALSE),FALSE)</f>
      </c>
    </row>
    <row r="98" spans="1:8" x14ac:dyDescent="0.25">
      <c r="A98" s="5">
        <v>46256.625</v>
      </c>
      <c r="B98" t="s">
        <v>20</v>
      </c>
      <c r="C98" t="s">
        <v>21</v>
      </c>
      <c r="D98" s="2">
        <v>10000</v>
      </c>
      <c r="E98" t="s">
        <v>60</v>
      </c>
      <c r="F98">
        <f>TEXT(A98,"yyyy-mm")</f>
      </c>
      <c r="G98">
        <f>IF(B98="支出",IFERROR(VLOOKUP(C98,設定!$A$2:$B$200,2,FALSE),"その他"),"")</f>
      </c>
      <c r="H98">
        <f>IF(B98="支出",IFERROR(VLOOKUP(C98,設定!$A$2:$C$200,3,FALSE),FALSE),FALSE)</f>
      </c>
    </row>
    <row r="99" spans="1:8" x14ac:dyDescent="0.25">
      <c r="A99" s="5">
        <v>46255.625</v>
      </c>
      <c r="B99" t="s">
        <v>12</v>
      </c>
      <c r="C99" t="s">
        <v>24</v>
      </c>
      <c r="D99" s="2">
        <v>301</v>
      </c>
      <c r="E99" t="s">
        <v>14</v>
      </c>
      <c r="F99">
        <f>TEXT(A99,"yyyy-mm")</f>
      </c>
      <c r="G99">
        <f>IF(B99="支出",IFERROR(VLOOKUP(C99,設定!$A$2:$B$200,2,FALSE),"その他"),"")</f>
      </c>
      <c r="H99">
        <f>IF(B99="支出",IFERROR(VLOOKUP(C99,設定!$A$2:$C$200,3,FALSE),FALSE),FALSE)</f>
      </c>
    </row>
    <row r="100" spans="1:8" x14ac:dyDescent="0.25">
      <c r="A100" s="5">
        <v>46255.625</v>
      </c>
      <c r="B100" t="s">
        <v>12</v>
      </c>
      <c r="C100" t="s">
        <v>23</v>
      </c>
      <c r="D100" s="2">
        <v>1426</v>
      </c>
      <c r="E100" t="s">
        <v>14</v>
      </c>
      <c r="F100">
        <f>TEXT(A100,"yyyy-mm")</f>
      </c>
      <c r="G100">
        <f>IF(B100="支出",IFERROR(VLOOKUP(C100,設定!$A$2:$B$200,2,FALSE),"その他"),"")</f>
      </c>
      <c r="H100">
        <f>IF(B100="支出",IFERROR(VLOOKUP(C100,設定!$A$2:$C$200,3,FALSE),FALSE),FALSE)</f>
      </c>
    </row>
    <row r="101" spans="1:8" x14ac:dyDescent="0.25">
      <c r="A101" s="5">
        <v>46255.625</v>
      </c>
      <c r="B101" t="s">
        <v>12</v>
      </c>
      <c r="C101" t="s">
        <v>16</v>
      </c>
      <c r="D101" s="2">
        <v>514</v>
      </c>
      <c r="E101" t="s">
        <v>14</v>
      </c>
      <c r="F101">
        <f>TEXT(A101,"yyyy-mm")</f>
      </c>
      <c r="G101">
        <f>IF(B101="支出",IFERROR(VLOOKUP(C101,設定!$A$2:$B$200,2,FALSE),"その他"),"")</f>
      </c>
      <c r="H101">
        <f>IF(B101="支出",IFERROR(VLOOKUP(C101,設定!$A$2:$C$200,3,FALSE),FALSE),FALSE)</f>
      </c>
    </row>
    <row r="102" spans="1:8" x14ac:dyDescent="0.25">
      <c r="A102" s="5">
        <v>46255.625</v>
      </c>
      <c r="B102" t="s">
        <v>12</v>
      </c>
      <c r="C102" t="s">
        <v>17</v>
      </c>
      <c r="D102" s="2">
        <v>229</v>
      </c>
      <c r="E102" t="s">
        <v>14</v>
      </c>
      <c r="F102">
        <f>TEXT(A102,"yyyy-mm")</f>
      </c>
      <c r="G102">
        <f>IF(B102="支出",IFERROR(VLOOKUP(C102,設定!$A$2:$B$200,2,FALSE),"その他"),"")</f>
      </c>
      <c r="H102">
        <f>IF(B102="支出",IFERROR(VLOOKUP(C102,設定!$A$2:$C$200,3,FALSE),FALSE),FALSE)</f>
      </c>
    </row>
    <row r="103" spans="1:8" x14ac:dyDescent="0.25">
      <c r="A103" s="5">
        <v>46255.625</v>
      </c>
      <c r="B103" t="s">
        <v>12</v>
      </c>
      <c r="C103" t="s">
        <v>15</v>
      </c>
      <c r="D103" s="2">
        <v>1113</v>
      </c>
      <c r="E103" t="s">
        <v>14</v>
      </c>
      <c r="F103">
        <f>TEXT(A103,"yyyy-mm")</f>
      </c>
      <c r="G103">
        <f>IF(B103="支出",IFERROR(VLOOKUP(C103,設定!$A$2:$B$200,2,FALSE),"その他"),"")</f>
      </c>
      <c r="H103">
        <f>IF(B103="支出",IFERROR(VLOOKUP(C103,設定!$A$2:$C$200,3,FALSE),FALSE),FALSE)</f>
      </c>
    </row>
    <row r="104" spans="1:8" x14ac:dyDescent="0.25">
      <c r="A104" s="5">
        <v>46255.625</v>
      </c>
      <c r="B104" t="s">
        <v>12</v>
      </c>
      <c r="C104" t="s">
        <v>13</v>
      </c>
      <c r="D104" s="2">
        <v>2737</v>
      </c>
      <c r="E104" t="s">
        <v>14</v>
      </c>
      <c r="F104">
        <f>TEXT(A104,"yyyy-mm")</f>
      </c>
      <c r="G104">
        <f>IF(B104="支出",IFERROR(VLOOKUP(C104,設定!$A$2:$B$200,2,FALSE),"その他"),"")</f>
      </c>
      <c r="H104">
        <f>IF(B104="支出",IFERROR(VLOOKUP(C104,設定!$A$2:$C$200,3,FALSE),FALSE),FALSE)</f>
      </c>
    </row>
    <row r="105" spans="1:8" x14ac:dyDescent="0.25">
      <c r="A105" s="5">
        <v>46255.625</v>
      </c>
      <c r="B105" t="s">
        <v>12</v>
      </c>
      <c r="C105" t="s">
        <v>18</v>
      </c>
      <c r="D105" s="2">
        <v>4671</v>
      </c>
      <c r="E105" t="s">
        <v>14</v>
      </c>
      <c r="F105">
        <f>TEXT(A105,"yyyy-mm")</f>
      </c>
      <c r="G105">
        <f>IF(B105="支出",IFERROR(VLOOKUP(C105,設定!$A$2:$B$200,2,FALSE),"その他"),"")</f>
      </c>
      <c r="H105">
        <f>IF(B105="支出",IFERROR(VLOOKUP(C105,設定!$A$2:$C$200,3,FALSE),FALSE),FALSE)</f>
      </c>
    </row>
    <row r="106" spans="1:8" x14ac:dyDescent="0.25">
      <c r="A106" s="5">
        <v>46255.625</v>
      </c>
      <c r="B106" t="s">
        <v>12</v>
      </c>
      <c r="C106" t="s">
        <v>19</v>
      </c>
      <c r="D106" s="2">
        <v>2100</v>
      </c>
      <c r="E106" t="s">
        <v>14</v>
      </c>
      <c r="F106">
        <f>TEXT(A106,"yyyy-mm")</f>
      </c>
      <c r="G106">
        <f>IF(B106="支出",IFERROR(VLOOKUP(C106,設定!$A$2:$B$200,2,FALSE),"その他"),"")</f>
      </c>
      <c r="H106">
        <f>IF(B106="支出",IFERROR(VLOOKUP(C106,設定!$A$2:$C$200,3,FALSE),FALSE),FALSE)</f>
      </c>
    </row>
    <row r="107" spans="1:8" x14ac:dyDescent="0.25">
      <c r="A107" s="5">
        <v>46255.625</v>
      </c>
      <c r="B107" t="s">
        <v>12</v>
      </c>
      <c r="C107" t="s">
        <v>25</v>
      </c>
      <c r="D107" s="2">
        <v>2500</v>
      </c>
      <c r="E107" t="s">
        <v>61</v>
      </c>
      <c r="F107">
        <f>TEXT(A107,"yyyy-mm")</f>
      </c>
      <c r="G107">
        <f>IF(B107="支出",IFERROR(VLOOKUP(C107,設定!$A$2:$B$200,2,FALSE),"その他"),"")</f>
      </c>
      <c r="H107">
        <f>IF(B107="支出",IFERROR(VLOOKUP(C107,設定!$A$2:$C$200,3,FALSE),FALSE),FALSE)</f>
      </c>
    </row>
    <row r="108" spans="1:8" x14ac:dyDescent="0.25">
      <c r="A108" s="5">
        <v>46255.625</v>
      </c>
      <c r="B108" t="s">
        <v>20</v>
      </c>
      <c r="C108" t="s">
        <v>62</v>
      </c>
      <c r="D108" s="2">
        <v>10000</v>
      </c>
      <c r="E108" t="s">
        <v>60</v>
      </c>
      <c r="F108">
        <f>TEXT(A108,"yyyy-mm")</f>
      </c>
      <c r="G108">
        <f>IF(B108="支出",IFERROR(VLOOKUP(C108,設定!$A$2:$B$200,2,FALSE),"その他"),"")</f>
      </c>
      <c r="H108">
        <f>IF(B108="支出",IFERROR(VLOOKUP(C108,設定!$A$2:$C$200,3,FALSE),FALSE),FALSE)</f>
      </c>
    </row>
    <row r="109" spans="1:8" x14ac:dyDescent="0.25">
      <c r="A109" s="5">
        <v>46254.625</v>
      </c>
      <c r="B109" t="s">
        <v>12</v>
      </c>
      <c r="C109" t="s">
        <v>13</v>
      </c>
      <c r="D109" s="2">
        <v>3590</v>
      </c>
      <c r="E109" t="s">
        <v>63</v>
      </c>
      <c r="F109">
        <f>TEXT(A109,"yyyy-mm")</f>
      </c>
      <c r="G109">
        <f>IF(B109="支出",IFERROR(VLOOKUP(C109,設定!$A$2:$B$200,2,FALSE),"その他"),"")</f>
      </c>
      <c r="H109">
        <f>IF(B109="支出",IFERROR(VLOOKUP(C109,設定!$A$2:$C$200,3,FALSE),FALSE),FALSE)</f>
      </c>
    </row>
    <row r="110" spans="1:8" x14ac:dyDescent="0.25">
      <c r="A110" s="5">
        <v>46253.625</v>
      </c>
      <c r="B110" t="s">
        <v>12</v>
      </c>
      <c r="C110" t="s">
        <v>24</v>
      </c>
      <c r="D110" s="2">
        <v>95</v>
      </c>
      <c r="E110" t="s">
        <v>14</v>
      </c>
      <c r="F110">
        <f>TEXT(A110,"yyyy-mm")</f>
      </c>
      <c r="G110">
        <f>IF(B110="支出",IFERROR(VLOOKUP(C110,設定!$A$2:$B$200,2,FALSE),"その他"),"")</f>
      </c>
      <c r="H110">
        <f>IF(B110="支出",IFERROR(VLOOKUP(C110,設定!$A$2:$C$200,3,FALSE),FALSE),FALSE)</f>
      </c>
    </row>
    <row r="111" spans="1:8" x14ac:dyDescent="0.25">
      <c r="A111" s="5">
        <v>46253.625</v>
      </c>
      <c r="B111" t="s">
        <v>12</v>
      </c>
      <c r="C111" t="s">
        <v>57</v>
      </c>
      <c r="D111" s="2">
        <v>347</v>
      </c>
      <c r="E111" t="s">
        <v>64</v>
      </c>
      <c r="F111">
        <f>TEXT(A111,"yyyy-mm")</f>
      </c>
      <c r="G111">
        <f>IF(B111="支出",IFERROR(VLOOKUP(C111,設定!$A$2:$B$200,2,FALSE),"その他"),"")</f>
      </c>
      <c r="H111">
        <f>IF(B111="支出",IFERROR(VLOOKUP(C111,設定!$A$2:$C$200,3,FALSE),FALSE),FALSE)</f>
      </c>
    </row>
    <row r="112" spans="1:8" x14ac:dyDescent="0.25">
      <c r="A112" s="5">
        <v>46253.625</v>
      </c>
      <c r="B112" t="s">
        <v>12</v>
      </c>
      <c r="C112" t="s">
        <v>16</v>
      </c>
      <c r="D112" s="2">
        <v>647</v>
      </c>
      <c r="E112" t="s">
        <v>14</v>
      </c>
      <c r="F112">
        <f>TEXT(A112,"yyyy-mm")</f>
      </c>
      <c r="G112">
        <f>IF(B112="支出",IFERROR(VLOOKUP(C112,設定!$A$2:$B$200,2,FALSE),"その他"),"")</f>
      </c>
      <c r="H112">
        <f>IF(B112="支出",IFERROR(VLOOKUP(C112,設定!$A$2:$C$200,3,FALSE),FALSE),FALSE)</f>
      </c>
    </row>
    <row r="113" spans="1:8" x14ac:dyDescent="0.25">
      <c r="A113" s="5">
        <v>46253.625</v>
      </c>
      <c r="B113" t="s">
        <v>12</v>
      </c>
      <c r="C113" t="s">
        <v>18</v>
      </c>
      <c r="D113" s="2">
        <v>7233</v>
      </c>
      <c r="E113" t="s">
        <v>14</v>
      </c>
      <c r="F113">
        <f>TEXT(A113,"yyyy-mm")</f>
      </c>
      <c r="G113">
        <f>IF(B113="支出",IFERROR(VLOOKUP(C113,設定!$A$2:$B$200,2,FALSE),"その他"),"")</f>
      </c>
      <c r="H113">
        <f>IF(B113="支出",IFERROR(VLOOKUP(C113,設定!$A$2:$C$200,3,FALSE),FALSE),FALSE)</f>
      </c>
    </row>
    <row r="114" spans="1:8" x14ac:dyDescent="0.25">
      <c r="A114" s="5">
        <v>46253.625</v>
      </c>
      <c r="B114" t="s">
        <v>12</v>
      </c>
      <c r="C114" t="s">
        <v>13</v>
      </c>
      <c r="D114" s="2">
        <v>362</v>
      </c>
      <c r="E114" t="s">
        <v>14</v>
      </c>
      <c r="F114">
        <f>TEXT(A114,"yyyy-mm")</f>
      </c>
      <c r="G114">
        <f>IF(B114="支出",IFERROR(VLOOKUP(C114,設定!$A$2:$B$200,2,FALSE),"その他"),"")</f>
      </c>
      <c r="H114">
        <f>IF(B114="支出",IFERROR(VLOOKUP(C114,設定!$A$2:$C$200,3,FALSE),FALSE),FALSE)</f>
      </c>
    </row>
    <row r="115" spans="1:8" x14ac:dyDescent="0.25">
      <c r="A115" s="5">
        <v>46253.625</v>
      </c>
      <c r="B115" t="s">
        <v>12</v>
      </c>
      <c r="C115" t="s">
        <v>15</v>
      </c>
      <c r="D115" s="2">
        <v>565</v>
      </c>
      <c r="E115" t="s">
        <v>14</v>
      </c>
      <c r="F115">
        <f>TEXT(A115,"yyyy-mm")</f>
      </c>
      <c r="G115">
        <f>IF(B115="支出",IFERROR(VLOOKUP(C115,設定!$A$2:$B$200,2,FALSE),"その他"),"")</f>
      </c>
      <c r="H115">
        <f>IF(B115="支出",IFERROR(VLOOKUP(C115,設定!$A$2:$C$200,3,FALSE),FALSE),FALSE)</f>
      </c>
    </row>
    <row r="116" spans="1:8" x14ac:dyDescent="0.25">
      <c r="A116" s="5">
        <v>46253.625</v>
      </c>
      <c r="B116" t="s">
        <v>12</v>
      </c>
      <c r="C116" t="s">
        <v>19</v>
      </c>
      <c r="D116" s="2">
        <v>800</v>
      </c>
      <c r="E116" t="s">
        <v>14</v>
      </c>
      <c r="F116">
        <f>TEXT(A116,"yyyy-mm")</f>
      </c>
      <c r="G116">
        <f>IF(B116="支出",IFERROR(VLOOKUP(C116,設定!$A$2:$B$200,2,FALSE),"その他"),"")</f>
      </c>
      <c r="H116">
        <f>IF(B116="支出",IFERROR(VLOOKUP(C116,設定!$A$2:$C$200,3,FALSE),FALSE),FALSE)</f>
      </c>
    </row>
    <row r="117" spans="1:8" x14ac:dyDescent="0.25">
      <c r="A117" s="5">
        <v>46253.625</v>
      </c>
      <c r="B117" t="s">
        <v>20</v>
      </c>
      <c r="C117" t="s">
        <v>25</v>
      </c>
      <c r="D117" s="2">
        <v>20000</v>
      </c>
      <c r="E117" t="s">
        <v>65</v>
      </c>
      <c r="F117">
        <f>TEXT(A117,"yyyy-mm")</f>
      </c>
      <c r="G117">
        <f>IF(B117="支出",IFERROR(VLOOKUP(C117,設定!$A$2:$B$200,2,FALSE),"その他"),"")</f>
      </c>
      <c r="H117">
        <f>IF(B117="支出",IFERROR(VLOOKUP(C117,設定!$A$2:$C$200,3,FALSE),FALSE),FALSE)</f>
      </c>
    </row>
    <row r="118" spans="1:8" x14ac:dyDescent="0.25">
      <c r="A118" s="5">
        <v>46252.625</v>
      </c>
      <c r="B118" t="s">
        <v>12</v>
      </c>
      <c r="C118" t="s">
        <v>23</v>
      </c>
      <c r="D118" s="2">
        <v>2704</v>
      </c>
      <c r="E118" t="s">
        <v>14</v>
      </c>
      <c r="F118">
        <f>TEXT(A118,"yyyy-mm")</f>
      </c>
      <c r="G118">
        <f>IF(B118="支出",IFERROR(VLOOKUP(C118,設定!$A$2:$B$200,2,FALSE),"その他"),"")</f>
      </c>
      <c r="H118">
        <f>IF(B118="支出",IFERROR(VLOOKUP(C118,設定!$A$2:$C$200,3,FALSE),FALSE),FALSE)</f>
      </c>
    </row>
    <row r="119" spans="1:8" x14ac:dyDescent="0.25">
      <c r="A119" s="5">
        <v>46252.625</v>
      </c>
      <c r="B119" t="s">
        <v>12</v>
      </c>
      <c r="C119" t="s">
        <v>13</v>
      </c>
      <c r="D119" s="2">
        <v>2385</v>
      </c>
      <c r="E119" t="s">
        <v>14</v>
      </c>
      <c r="F119">
        <f>TEXT(A119,"yyyy-mm")</f>
      </c>
      <c r="G119">
        <f>IF(B119="支出",IFERROR(VLOOKUP(C119,設定!$A$2:$B$200,2,FALSE),"その他"),"")</f>
      </c>
      <c r="H119">
        <f>IF(B119="支出",IFERROR(VLOOKUP(C119,設定!$A$2:$C$200,3,FALSE),FALSE),FALSE)</f>
      </c>
    </row>
    <row r="120" spans="1:8" x14ac:dyDescent="0.25">
      <c r="A120" s="5">
        <v>46252.625</v>
      </c>
      <c r="B120" t="s">
        <v>12</v>
      </c>
      <c r="C120" t="s">
        <v>18</v>
      </c>
      <c r="D120" s="2">
        <v>955</v>
      </c>
      <c r="E120" t="s">
        <v>14</v>
      </c>
      <c r="F120">
        <f>TEXT(A120,"yyyy-mm")</f>
      </c>
      <c r="G120">
        <f>IF(B120="支出",IFERROR(VLOOKUP(C120,設定!$A$2:$B$200,2,FALSE),"その他"),"")</f>
      </c>
      <c r="H120">
        <f>IF(B120="支出",IFERROR(VLOOKUP(C120,設定!$A$2:$C$200,3,FALSE),FALSE),FALSE)</f>
      </c>
    </row>
    <row r="121" spans="1:8" x14ac:dyDescent="0.25">
      <c r="A121" s="5">
        <v>46252.625</v>
      </c>
      <c r="B121" t="s">
        <v>12</v>
      </c>
      <c r="C121" t="s">
        <v>27</v>
      </c>
      <c r="D121" s="2">
        <v>3100</v>
      </c>
      <c r="E121" t="s">
        <v>66</v>
      </c>
      <c r="F121">
        <f>TEXT(A121,"yyyy-mm")</f>
      </c>
      <c r="G121">
        <f>IF(B121="支出",IFERROR(VLOOKUP(C121,設定!$A$2:$B$200,2,FALSE),"その他"),"")</f>
      </c>
      <c r="H121">
        <f>IF(B121="支出",IFERROR(VLOOKUP(C121,設定!$A$2:$C$200,3,FALSE),FALSE),FALSE)</f>
      </c>
    </row>
    <row r="122" spans="1:8" x14ac:dyDescent="0.25">
      <c r="A122" s="5">
        <v>46252.625</v>
      </c>
      <c r="B122" t="s">
        <v>12</v>
      </c>
      <c r="C122" t="s">
        <v>29</v>
      </c>
      <c r="D122" s="2">
        <v>6894</v>
      </c>
      <c r="E122" t="s">
        <v>67</v>
      </c>
      <c r="F122">
        <f>TEXT(A122,"yyyy-mm")</f>
      </c>
      <c r="G122">
        <f>IF(B122="支出",IFERROR(VLOOKUP(C122,設定!$A$2:$B$200,2,FALSE),"その他"),"")</f>
      </c>
      <c r="H122">
        <f>IF(B122="支出",IFERROR(VLOOKUP(C122,設定!$A$2:$C$200,3,FALSE),FALSE),FALSE)</f>
      </c>
    </row>
    <row r="123" spans="1:8" x14ac:dyDescent="0.25">
      <c r="A123" s="5">
        <v>46252.625</v>
      </c>
      <c r="B123" t="s">
        <v>12</v>
      </c>
      <c r="C123" t="s">
        <v>25</v>
      </c>
      <c r="D123" s="2">
        <v>2500</v>
      </c>
      <c r="E123" t="s">
        <v>68</v>
      </c>
      <c r="F123">
        <f>TEXT(A123,"yyyy-mm")</f>
      </c>
      <c r="G123">
        <f>IF(B123="支出",IFERROR(VLOOKUP(C123,設定!$A$2:$B$200,2,FALSE),"その他"),"")</f>
      </c>
      <c r="H123">
        <f>IF(B123="支出",IFERROR(VLOOKUP(C123,設定!$A$2:$C$200,3,FALSE),FALSE),FALSE)</f>
      </c>
    </row>
    <row r="124" spans="1:8" x14ac:dyDescent="0.25">
      <c r="A124" s="5">
        <v>46252.625</v>
      </c>
      <c r="B124" t="s">
        <v>20</v>
      </c>
      <c r="C124" t="s">
        <v>62</v>
      </c>
      <c r="D124" s="2">
        <v>20000</v>
      </c>
      <c r="E124" t="s">
        <v>69</v>
      </c>
      <c r="F124">
        <f>TEXT(A124,"yyyy-mm")</f>
      </c>
      <c r="G124">
        <f>IF(B124="支出",IFERROR(VLOOKUP(C124,設定!$A$2:$B$200,2,FALSE),"その他"),"")</f>
      </c>
      <c r="H124">
        <f>IF(B124="支出",IFERROR(VLOOKUP(C124,設定!$A$2:$C$200,3,FALSE),FALSE),FALSE)</f>
      </c>
    </row>
    <row r="125" spans="1:8" x14ac:dyDescent="0.25">
      <c r="A125" s="5">
        <v>46251.625</v>
      </c>
      <c r="B125" t="s">
        <v>12</v>
      </c>
      <c r="C125" t="s">
        <v>15</v>
      </c>
      <c r="D125" s="2">
        <v>207</v>
      </c>
      <c r="E125" t="s">
        <v>14</v>
      </c>
      <c r="F125">
        <f>TEXT(A125,"yyyy-mm")</f>
      </c>
      <c r="G125">
        <f>IF(B125="支出",IFERROR(VLOOKUP(C125,設定!$A$2:$B$200,2,FALSE),"その他"),"")</f>
      </c>
      <c r="H125">
        <f>IF(B125="支出",IFERROR(VLOOKUP(C125,設定!$A$2:$C$200,3,FALSE),FALSE),FALSE)</f>
      </c>
    </row>
    <row r="126" spans="1:8" x14ac:dyDescent="0.25">
      <c r="A126" s="5">
        <v>46251.625</v>
      </c>
      <c r="B126" t="s">
        <v>12</v>
      </c>
      <c r="C126" t="s">
        <v>17</v>
      </c>
      <c r="D126" s="2">
        <v>4695</v>
      </c>
      <c r="E126" t="s">
        <v>14</v>
      </c>
      <c r="F126">
        <f>TEXT(A126,"yyyy-mm")</f>
      </c>
      <c r="G126">
        <f>IF(B126="支出",IFERROR(VLOOKUP(C126,設定!$A$2:$B$200,2,FALSE),"その他"),"")</f>
      </c>
      <c r="H126">
        <f>IF(B126="支出",IFERROR(VLOOKUP(C126,設定!$A$2:$C$200,3,FALSE),FALSE),FALSE)</f>
      </c>
    </row>
    <row r="127" spans="1:8" x14ac:dyDescent="0.25">
      <c r="A127" s="5">
        <v>46251.625</v>
      </c>
      <c r="B127" t="s">
        <v>12</v>
      </c>
      <c r="C127" t="s">
        <v>13</v>
      </c>
      <c r="D127" s="2">
        <v>3736</v>
      </c>
      <c r="E127" t="s">
        <v>70</v>
      </c>
      <c r="F127">
        <f>TEXT(A127,"yyyy-mm")</f>
      </c>
      <c r="G127">
        <f>IF(B127="支出",IFERROR(VLOOKUP(C127,設定!$A$2:$B$200,2,FALSE),"その他"),"")</f>
      </c>
      <c r="H127">
        <f>IF(B127="支出",IFERROR(VLOOKUP(C127,設定!$A$2:$C$200,3,FALSE),FALSE),FALSE)</f>
      </c>
    </row>
    <row r="128" spans="1:8" x14ac:dyDescent="0.25">
      <c r="A128" s="5">
        <v>46251.625</v>
      </c>
      <c r="B128" t="s">
        <v>12</v>
      </c>
      <c r="C128" t="s">
        <v>25</v>
      </c>
      <c r="D128" s="2">
        <v>1641</v>
      </c>
      <c r="E128" t="s">
        <v>71</v>
      </c>
      <c r="F128">
        <f>TEXT(A128,"yyyy-mm")</f>
      </c>
      <c r="G128">
        <f>IF(B128="支出",IFERROR(VLOOKUP(C128,設定!$A$2:$B$200,2,FALSE),"その他"),"")</f>
      </c>
      <c r="H128">
        <f>IF(B128="支出",IFERROR(VLOOKUP(C128,設定!$A$2:$C$200,3,FALSE),FALSE),FALSE)</f>
      </c>
    </row>
    <row r="129" spans="1:8" x14ac:dyDescent="0.25">
      <c r="A129" s="5">
        <v>46251.625</v>
      </c>
      <c r="B129" t="s">
        <v>12</v>
      </c>
      <c r="C129" t="s">
        <v>27</v>
      </c>
      <c r="D129" s="2">
        <v>770</v>
      </c>
      <c r="E129" t="s">
        <v>14</v>
      </c>
      <c r="F129">
        <f>TEXT(A129,"yyyy-mm")</f>
      </c>
      <c r="G129">
        <f>IF(B129="支出",IFERROR(VLOOKUP(C129,設定!$A$2:$B$200,2,FALSE),"その他"),"")</f>
      </c>
      <c r="H129">
        <f>IF(B129="支出",IFERROR(VLOOKUP(C129,設定!$A$2:$C$200,3,FALSE),FALSE),FALSE)</f>
      </c>
    </row>
    <row r="130" spans="1:8" x14ac:dyDescent="0.25">
      <c r="A130" s="5">
        <v>46251.625</v>
      </c>
      <c r="B130" t="s">
        <v>12</v>
      </c>
      <c r="C130" t="s">
        <v>72</v>
      </c>
      <c r="D130" s="2">
        <v>2000</v>
      </c>
      <c r="E130" t="s">
        <v>73</v>
      </c>
      <c r="F130">
        <f>TEXT(A130,"yyyy-mm")</f>
      </c>
      <c r="G130">
        <f>IF(B130="支出",IFERROR(VLOOKUP(C130,設定!$A$2:$B$200,2,FALSE),"その他"),"")</f>
      </c>
      <c r="H130">
        <f>IF(B130="支出",IFERROR(VLOOKUP(C130,設定!$A$2:$C$200,3,FALSE),FALSE),FALSE)</f>
      </c>
    </row>
    <row r="131" spans="1:8" x14ac:dyDescent="0.25">
      <c r="A131" s="5">
        <v>46250.625</v>
      </c>
      <c r="B131" t="s">
        <v>12</v>
      </c>
      <c r="C131" t="s">
        <v>16</v>
      </c>
      <c r="D131" s="2">
        <v>1742</v>
      </c>
      <c r="E131" t="s">
        <v>14</v>
      </c>
      <c r="F131">
        <f>TEXT(A131,"yyyy-mm")</f>
      </c>
      <c r="G131">
        <f>IF(B131="支出",IFERROR(VLOOKUP(C131,設定!$A$2:$B$200,2,FALSE),"その他"),"")</f>
      </c>
      <c r="H131">
        <f>IF(B131="支出",IFERROR(VLOOKUP(C131,設定!$A$2:$C$200,3,FALSE),FALSE),FALSE)</f>
      </c>
    </row>
    <row r="132" spans="1:8" x14ac:dyDescent="0.25">
      <c r="A132" s="5">
        <v>46250.625</v>
      </c>
      <c r="B132" t="s">
        <v>12</v>
      </c>
      <c r="C132" t="s">
        <v>15</v>
      </c>
      <c r="D132" s="2">
        <v>533</v>
      </c>
      <c r="E132" t="s">
        <v>14</v>
      </c>
      <c r="F132">
        <f>TEXT(A132,"yyyy-mm")</f>
      </c>
      <c r="G132">
        <f>IF(B132="支出",IFERROR(VLOOKUP(C132,設定!$A$2:$B$200,2,FALSE),"その他"),"")</f>
      </c>
      <c r="H132">
        <f>IF(B132="支出",IFERROR(VLOOKUP(C132,設定!$A$2:$C$200,3,FALSE),FALSE),FALSE)</f>
      </c>
    </row>
    <row r="133" spans="1:8" x14ac:dyDescent="0.25">
      <c r="A133" s="5">
        <v>46250.625</v>
      </c>
      <c r="B133" t="s">
        <v>12</v>
      </c>
      <c r="C133" t="s">
        <v>18</v>
      </c>
      <c r="D133" s="2">
        <v>1740</v>
      </c>
      <c r="E133" t="s">
        <v>14</v>
      </c>
      <c r="F133">
        <f>TEXT(A133,"yyyy-mm")</f>
      </c>
      <c r="G133">
        <f>IF(B133="支出",IFERROR(VLOOKUP(C133,設定!$A$2:$B$200,2,FALSE),"その他"),"")</f>
      </c>
      <c r="H133">
        <f>IF(B133="支出",IFERROR(VLOOKUP(C133,設定!$A$2:$C$200,3,FALSE),FALSE),FALSE)</f>
      </c>
    </row>
    <row r="134" spans="1:8" x14ac:dyDescent="0.25">
      <c r="A134" s="5">
        <v>46250.625</v>
      </c>
      <c r="B134" t="s">
        <v>12</v>
      </c>
      <c r="C134" t="s">
        <v>13</v>
      </c>
      <c r="D134" s="2">
        <v>163</v>
      </c>
      <c r="E134" t="s">
        <v>14</v>
      </c>
      <c r="F134">
        <f>TEXT(A134,"yyyy-mm")</f>
      </c>
      <c r="G134">
        <f>IF(B134="支出",IFERROR(VLOOKUP(C134,設定!$A$2:$B$200,2,FALSE),"その他"),"")</f>
      </c>
      <c r="H134">
        <f>IF(B134="支出",IFERROR(VLOOKUP(C134,設定!$A$2:$C$200,3,FALSE),FALSE),FALSE)</f>
      </c>
    </row>
    <row r="135" spans="1:8" x14ac:dyDescent="0.25">
      <c r="A135" s="5">
        <v>46250.625</v>
      </c>
      <c r="B135" t="s">
        <v>12</v>
      </c>
      <c r="C135" t="s">
        <v>27</v>
      </c>
      <c r="D135" s="2">
        <v>1694</v>
      </c>
      <c r="E135" t="s">
        <v>14</v>
      </c>
      <c r="F135">
        <f>TEXT(A135,"yyyy-mm")</f>
      </c>
      <c r="G135">
        <f>IF(B135="支出",IFERROR(VLOOKUP(C135,設定!$A$2:$B$200,2,FALSE),"その他"),"")</f>
      </c>
      <c r="H135">
        <f>IF(B135="支出",IFERROR(VLOOKUP(C135,設定!$A$2:$C$200,3,FALSE),FALSE),FALSE)</f>
      </c>
    </row>
    <row r="136" spans="1:8" x14ac:dyDescent="0.25">
      <c r="A136" s="5">
        <v>46249.625</v>
      </c>
      <c r="B136" t="s">
        <v>20</v>
      </c>
      <c r="C136" t="s">
        <v>25</v>
      </c>
      <c r="D136" s="2">
        <v>4755</v>
      </c>
      <c r="E136" t="s">
        <v>74</v>
      </c>
      <c r="F136">
        <f>TEXT(A136,"yyyy-mm")</f>
      </c>
      <c r="G136">
        <f>IF(B136="支出",IFERROR(VLOOKUP(C136,設定!$A$2:$B$200,2,FALSE),"その他"),"")</f>
      </c>
      <c r="H136">
        <f>IF(B136="支出",IFERROR(VLOOKUP(C136,設定!$A$2:$C$200,3,FALSE),FALSE),FALSE)</f>
      </c>
    </row>
    <row r="137" spans="1:8" x14ac:dyDescent="0.25">
      <c r="A137" s="5">
        <v>46249.625</v>
      </c>
      <c r="B137" t="s">
        <v>12</v>
      </c>
      <c r="C137" t="s">
        <v>23</v>
      </c>
      <c r="D137" s="2">
        <v>495</v>
      </c>
      <c r="E137" t="s">
        <v>28</v>
      </c>
      <c r="F137">
        <f>TEXT(A137,"yyyy-mm")</f>
      </c>
      <c r="G137">
        <f>IF(B137="支出",IFERROR(VLOOKUP(C137,設定!$A$2:$B$200,2,FALSE),"その他"),"")</f>
      </c>
      <c r="H137">
        <f>IF(B137="支出",IFERROR(VLOOKUP(C137,設定!$A$2:$C$200,3,FALSE),FALSE),FALSE)</f>
      </c>
    </row>
    <row r="138" spans="1:8" x14ac:dyDescent="0.25">
      <c r="A138" s="5">
        <v>46249.625</v>
      </c>
      <c r="B138" t="s">
        <v>12</v>
      </c>
      <c r="C138" t="s">
        <v>13</v>
      </c>
      <c r="D138" s="2">
        <v>1828</v>
      </c>
      <c r="E138" t="s">
        <v>28</v>
      </c>
      <c r="F138">
        <f>TEXT(A138,"yyyy-mm")</f>
      </c>
      <c r="G138">
        <f>IF(B138="支出",IFERROR(VLOOKUP(C138,設定!$A$2:$B$200,2,FALSE),"その他"),"")</f>
      </c>
      <c r="H138">
        <f>IF(B138="支出",IFERROR(VLOOKUP(C138,設定!$A$2:$C$200,3,FALSE),FALSE),FALSE)</f>
      </c>
    </row>
    <row r="139" spans="1:8" x14ac:dyDescent="0.25">
      <c r="A139" s="5">
        <v>46249.625</v>
      </c>
      <c r="B139" t="s">
        <v>12</v>
      </c>
      <c r="C139" t="s">
        <v>17</v>
      </c>
      <c r="D139" s="2">
        <v>251</v>
      </c>
      <c r="E139" t="s">
        <v>28</v>
      </c>
      <c r="F139">
        <f>TEXT(A139,"yyyy-mm")</f>
      </c>
      <c r="G139">
        <f>IF(B139="支出",IFERROR(VLOOKUP(C139,設定!$A$2:$B$200,2,FALSE),"その他"),"")</f>
      </c>
      <c r="H139">
        <f>IF(B139="支出",IFERROR(VLOOKUP(C139,設定!$A$2:$C$200,3,FALSE),FALSE),FALSE)</f>
      </c>
    </row>
    <row r="140" spans="1:8" x14ac:dyDescent="0.25">
      <c r="A140" s="5">
        <v>46249.625</v>
      </c>
      <c r="B140" t="s">
        <v>12</v>
      </c>
      <c r="C140" t="s">
        <v>15</v>
      </c>
      <c r="D140" s="2">
        <v>571</v>
      </c>
      <c r="E140" t="s">
        <v>28</v>
      </c>
      <c r="F140">
        <f>TEXT(A140,"yyyy-mm")</f>
      </c>
      <c r="G140">
        <f>IF(B140="支出",IFERROR(VLOOKUP(C140,設定!$A$2:$B$200,2,FALSE),"その他"),"")</f>
      </c>
      <c r="H140">
        <f>IF(B140="支出",IFERROR(VLOOKUP(C140,設定!$A$2:$C$200,3,FALSE),FALSE),FALSE)</f>
      </c>
    </row>
    <row r="141" spans="1:8" x14ac:dyDescent="0.25">
      <c r="A141" s="5">
        <v>46249.625</v>
      </c>
      <c r="B141" t="s">
        <v>12</v>
      </c>
      <c r="C141" t="s">
        <v>18</v>
      </c>
      <c r="D141" s="2">
        <v>1614</v>
      </c>
      <c r="E141" t="s">
        <v>28</v>
      </c>
      <c r="F141">
        <f>TEXT(A141,"yyyy-mm")</f>
      </c>
      <c r="G141">
        <f>IF(B141="支出",IFERROR(VLOOKUP(C141,設定!$A$2:$B$200,2,FALSE),"その他"),"")</f>
      </c>
      <c r="H141">
        <f>IF(B141="支出",IFERROR(VLOOKUP(C141,設定!$A$2:$C$200,3,FALSE),FALSE),FALSE)</f>
      </c>
    </row>
    <row r="142" spans="1:8" x14ac:dyDescent="0.25">
      <c r="A142" s="5">
        <v>46249.625</v>
      </c>
      <c r="B142" t="s">
        <v>12</v>
      </c>
      <c r="C142" t="s">
        <v>16</v>
      </c>
      <c r="D142" s="2">
        <v>217</v>
      </c>
      <c r="E142" t="s">
        <v>14</v>
      </c>
      <c r="F142">
        <f>TEXT(A142,"yyyy-mm")</f>
      </c>
      <c r="G142">
        <f>IF(B142="支出",IFERROR(VLOOKUP(C142,設定!$A$2:$B$200,2,FALSE),"その他"),"")</f>
      </c>
      <c r="H142">
        <f>IF(B142="支出",IFERROR(VLOOKUP(C142,設定!$A$2:$C$200,3,FALSE),FALSE),FALSE)</f>
      </c>
    </row>
    <row r="143" spans="1:8" x14ac:dyDescent="0.25">
      <c r="A143" s="5">
        <v>46249.625</v>
      </c>
      <c r="B143" t="s">
        <v>12</v>
      </c>
      <c r="C143" t="s">
        <v>17</v>
      </c>
      <c r="D143" s="2">
        <v>327</v>
      </c>
      <c r="E143" t="s">
        <v>14</v>
      </c>
      <c r="F143">
        <f>TEXT(A143,"yyyy-mm")</f>
      </c>
      <c r="G143">
        <f>IF(B143="支出",IFERROR(VLOOKUP(C143,設定!$A$2:$B$200,2,FALSE),"その他"),"")</f>
      </c>
      <c r="H143">
        <f>IF(B143="支出",IFERROR(VLOOKUP(C143,設定!$A$2:$C$200,3,FALSE),FALSE),FALSE)</f>
      </c>
    </row>
    <row r="144" spans="1:8" x14ac:dyDescent="0.25">
      <c r="A144" s="5">
        <v>46249.625</v>
      </c>
      <c r="B144" t="s">
        <v>12</v>
      </c>
      <c r="C144" t="s">
        <v>23</v>
      </c>
      <c r="D144" s="2">
        <v>881</v>
      </c>
      <c r="E144" t="s">
        <v>14</v>
      </c>
      <c r="F144">
        <f>TEXT(A144,"yyyy-mm")</f>
      </c>
      <c r="G144">
        <f>IF(B144="支出",IFERROR(VLOOKUP(C144,設定!$A$2:$B$200,2,FALSE),"その他"),"")</f>
      </c>
      <c r="H144">
        <f>IF(B144="支出",IFERROR(VLOOKUP(C144,設定!$A$2:$C$200,3,FALSE),FALSE),FALSE)</f>
      </c>
    </row>
    <row r="145" spans="1:8" x14ac:dyDescent="0.25">
      <c r="A145" s="5">
        <v>46249.625</v>
      </c>
      <c r="B145" t="s">
        <v>12</v>
      </c>
      <c r="C145" t="s">
        <v>24</v>
      </c>
      <c r="D145" s="2">
        <v>556</v>
      </c>
      <c r="E145" t="s">
        <v>14</v>
      </c>
      <c r="F145">
        <f>TEXT(A145,"yyyy-mm")</f>
      </c>
      <c r="G145">
        <f>IF(B145="支出",IFERROR(VLOOKUP(C145,設定!$A$2:$B$200,2,FALSE),"その他"),"")</f>
      </c>
      <c r="H145">
        <f>IF(B145="支出",IFERROR(VLOOKUP(C145,設定!$A$2:$C$200,3,FALSE),FALSE),FALSE)</f>
      </c>
    </row>
    <row r="146" spans="1:8" x14ac:dyDescent="0.25">
      <c r="A146" s="5">
        <v>46249.625</v>
      </c>
      <c r="B146" t="s">
        <v>12</v>
      </c>
      <c r="C146" t="s">
        <v>15</v>
      </c>
      <c r="D146" s="2">
        <v>1179</v>
      </c>
      <c r="E146" t="s">
        <v>14</v>
      </c>
      <c r="F146">
        <f>TEXT(A146,"yyyy-mm")</f>
      </c>
      <c r="G146">
        <f>IF(B146="支出",IFERROR(VLOOKUP(C146,設定!$A$2:$B$200,2,FALSE),"その他"),"")</f>
      </c>
      <c r="H146">
        <f>IF(B146="支出",IFERROR(VLOOKUP(C146,設定!$A$2:$C$200,3,FALSE),FALSE),FALSE)</f>
      </c>
    </row>
    <row r="147" spans="1:8" x14ac:dyDescent="0.25">
      <c r="A147" s="5">
        <v>46249.625</v>
      </c>
      <c r="B147" t="s">
        <v>12</v>
      </c>
      <c r="C147" t="s">
        <v>18</v>
      </c>
      <c r="D147" s="2">
        <v>370</v>
      </c>
      <c r="E147" t="s">
        <v>14</v>
      </c>
      <c r="F147">
        <f>TEXT(A147,"yyyy-mm")</f>
      </c>
      <c r="G147">
        <f>IF(B147="支出",IFERROR(VLOOKUP(C147,設定!$A$2:$B$200,2,FALSE),"その他"),"")</f>
      </c>
      <c r="H147">
        <f>IF(B147="支出",IFERROR(VLOOKUP(C147,設定!$A$2:$C$200,3,FALSE),FALSE),FALSE)</f>
      </c>
    </row>
    <row r="148" spans="1:8" x14ac:dyDescent="0.25">
      <c r="A148" s="5">
        <v>46248.625</v>
      </c>
      <c r="B148" t="s">
        <v>12</v>
      </c>
      <c r="C148" t="s">
        <v>15</v>
      </c>
      <c r="D148" s="2">
        <v>2622</v>
      </c>
      <c r="E148" t="s">
        <v>14</v>
      </c>
      <c r="F148">
        <f>TEXT(A148,"yyyy-mm")</f>
      </c>
      <c r="G148">
        <f>IF(B148="支出",IFERROR(VLOOKUP(C148,設定!$A$2:$B$200,2,FALSE),"その他"),"")</f>
      </c>
      <c r="H148">
        <f>IF(B148="支出",IFERROR(VLOOKUP(C148,設定!$A$2:$C$200,3,FALSE),FALSE),FALSE)</f>
      </c>
    </row>
    <row r="149" spans="1:8" x14ac:dyDescent="0.25">
      <c r="A149" s="5">
        <v>46248.625</v>
      </c>
      <c r="B149" t="s">
        <v>12</v>
      </c>
      <c r="C149" t="s">
        <v>16</v>
      </c>
      <c r="D149" s="2">
        <v>657</v>
      </c>
      <c r="E149" t="s">
        <v>14</v>
      </c>
      <c r="F149">
        <f>TEXT(A149,"yyyy-mm")</f>
      </c>
      <c r="G149">
        <f>IF(B149="支出",IFERROR(VLOOKUP(C149,設定!$A$2:$B$200,2,FALSE),"その他"),"")</f>
      </c>
      <c r="H149">
        <f>IF(B149="支出",IFERROR(VLOOKUP(C149,設定!$A$2:$C$200,3,FALSE),FALSE),FALSE)</f>
      </c>
    </row>
    <row r="150" spans="1:8" x14ac:dyDescent="0.25">
      <c r="A150" s="5">
        <v>46248.625</v>
      </c>
      <c r="B150" t="s">
        <v>12</v>
      </c>
      <c r="C150" t="s">
        <v>24</v>
      </c>
      <c r="D150" s="2">
        <v>294</v>
      </c>
      <c r="E150" t="s">
        <v>14</v>
      </c>
      <c r="F150">
        <f>TEXT(A150,"yyyy-mm")</f>
      </c>
      <c r="G150">
        <f>IF(B150="支出",IFERROR(VLOOKUP(C150,設定!$A$2:$B$200,2,FALSE),"その他"),"")</f>
      </c>
      <c r="H150">
        <f>IF(B150="支出",IFERROR(VLOOKUP(C150,設定!$A$2:$C$200,3,FALSE),FALSE),FALSE)</f>
      </c>
    </row>
    <row r="151" spans="1:8" x14ac:dyDescent="0.25">
      <c r="A151" s="5">
        <v>46248.625</v>
      </c>
      <c r="B151" t="s">
        <v>12</v>
      </c>
      <c r="C151" t="s">
        <v>23</v>
      </c>
      <c r="D151" s="2">
        <v>108</v>
      </c>
      <c r="E151" t="s">
        <v>14</v>
      </c>
      <c r="F151">
        <f>TEXT(A151,"yyyy-mm")</f>
      </c>
      <c r="G151">
        <f>IF(B151="支出",IFERROR(VLOOKUP(C151,設定!$A$2:$B$200,2,FALSE),"その他"),"")</f>
      </c>
      <c r="H151">
        <f>IF(B151="支出",IFERROR(VLOOKUP(C151,設定!$A$2:$C$200,3,FALSE),FALSE),FALSE)</f>
      </c>
    </row>
    <row r="152" spans="1:8" x14ac:dyDescent="0.25">
      <c r="A152" s="5">
        <v>46248.625</v>
      </c>
      <c r="B152" t="s">
        <v>12</v>
      </c>
      <c r="C152" t="s">
        <v>13</v>
      </c>
      <c r="D152" s="2">
        <v>2952</v>
      </c>
      <c r="E152" t="s">
        <v>14</v>
      </c>
      <c r="F152">
        <f>TEXT(A152,"yyyy-mm")</f>
      </c>
      <c r="G152">
        <f>IF(B152="支出",IFERROR(VLOOKUP(C152,設定!$A$2:$B$200,2,FALSE),"その他"),"")</f>
      </c>
      <c r="H152">
        <f>IF(B152="支出",IFERROR(VLOOKUP(C152,設定!$A$2:$C$200,3,FALSE),FALSE),FALSE)</f>
      </c>
    </row>
    <row r="153" spans="1:8" x14ac:dyDescent="0.25">
      <c r="A153" s="5">
        <v>46248.625</v>
      </c>
      <c r="B153" t="s">
        <v>12</v>
      </c>
      <c r="C153" t="s">
        <v>18</v>
      </c>
      <c r="D153" s="2">
        <v>4922</v>
      </c>
      <c r="E153" t="s">
        <v>14</v>
      </c>
      <c r="F153">
        <f>TEXT(A153,"yyyy-mm")</f>
      </c>
      <c r="G153">
        <f>IF(B153="支出",IFERROR(VLOOKUP(C153,設定!$A$2:$B$200,2,FALSE),"その他"),"")</f>
      </c>
      <c r="H153">
        <f>IF(B153="支出",IFERROR(VLOOKUP(C153,設定!$A$2:$C$200,3,FALSE),FALSE),FALSE)</f>
      </c>
    </row>
    <row r="154" spans="1:8" x14ac:dyDescent="0.25">
      <c r="A154" s="5">
        <v>46248.625</v>
      </c>
      <c r="B154" t="s">
        <v>12</v>
      </c>
      <c r="C154" t="s">
        <v>75</v>
      </c>
      <c r="D154" s="2">
        <v>3800</v>
      </c>
      <c r="E154" t="s">
        <v>14</v>
      </c>
      <c r="F154">
        <f>TEXT(A154,"yyyy-mm")</f>
      </c>
      <c r="G154">
        <f>IF(B154="支出",IFERROR(VLOOKUP(C154,設定!$A$2:$B$200,2,FALSE),"その他"),"")</f>
      </c>
      <c r="H154">
        <f>IF(B154="支出",IFERROR(VLOOKUP(C154,設定!$A$2:$C$200,3,FALSE),FALSE),FALSE)</f>
      </c>
    </row>
    <row r="155" spans="1:8" x14ac:dyDescent="0.25">
      <c r="A155" s="5">
        <v>46248.625</v>
      </c>
      <c r="B155" t="s">
        <v>20</v>
      </c>
      <c r="C155" t="s">
        <v>62</v>
      </c>
      <c r="D155" s="2">
        <v>30000</v>
      </c>
      <c r="E155" t="s">
        <v>76</v>
      </c>
      <c r="F155">
        <f>TEXT(A155,"yyyy-mm")</f>
      </c>
      <c r="G155">
        <f>IF(B155="支出",IFERROR(VLOOKUP(C155,設定!$A$2:$B$200,2,FALSE),"その他"),"")</f>
      </c>
      <c r="H155">
        <f>IF(B155="支出",IFERROR(VLOOKUP(C155,設定!$A$2:$C$200,3,FALSE),FALSE),FALSE)</f>
      </c>
    </row>
    <row r="156" spans="1:8" x14ac:dyDescent="0.25">
      <c r="A156" s="5">
        <v>46247.625</v>
      </c>
      <c r="B156" t="s">
        <v>12</v>
      </c>
      <c r="C156" t="s">
        <v>25</v>
      </c>
      <c r="D156" s="2">
        <v>120000</v>
      </c>
      <c r="E156" t="s">
        <v>77</v>
      </c>
      <c r="F156">
        <f>TEXT(A156,"yyyy-mm")</f>
      </c>
      <c r="G156">
        <f>IF(B156="支出",IFERROR(VLOOKUP(C156,設定!$A$2:$B$200,2,FALSE),"その他"),"")</f>
      </c>
      <c r="H156">
        <f>IF(B156="支出",IFERROR(VLOOKUP(C156,設定!$A$2:$C$200,3,FALSE),FALSE),FALSE)</f>
      </c>
    </row>
    <row r="157" spans="1:8" x14ac:dyDescent="0.25">
      <c r="A157" s="5">
        <v>46247.625</v>
      </c>
      <c r="B157" t="s">
        <v>20</v>
      </c>
      <c r="C157" t="s">
        <v>25</v>
      </c>
      <c r="D157" s="2">
        <v>120000</v>
      </c>
      <c r="E157" t="s">
        <v>77</v>
      </c>
      <c r="F157">
        <f>TEXT(A157,"yyyy-mm")</f>
      </c>
      <c r="G157">
        <f>IF(B157="支出",IFERROR(VLOOKUP(C157,設定!$A$2:$B$200,2,FALSE),"その他"),"")</f>
      </c>
      <c r="H157">
        <f>IF(B157="支出",IFERROR(VLOOKUP(C157,設定!$A$2:$C$200,3,FALSE),FALSE),FALSE)</f>
      </c>
    </row>
    <row r="158" spans="1:8" x14ac:dyDescent="0.25">
      <c r="A158" s="5">
        <v>46247.625</v>
      </c>
      <c r="B158" t="s">
        <v>12</v>
      </c>
      <c r="C158" t="s">
        <v>13</v>
      </c>
      <c r="D158" s="2">
        <v>3139</v>
      </c>
      <c r="E158" t="s">
        <v>78</v>
      </c>
      <c r="F158">
        <f>TEXT(A158,"yyyy-mm")</f>
      </c>
      <c r="G158">
        <f>IF(B158="支出",IFERROR(VLOOKUP(C158,設定!$A$2:$B$200,2,FALSE),"その他"),"")</f>
      </c>
      <c r="H158">
        <f>IF(B158="支出",IFERROR(VLOOKUP(C158,設定!$A$2:$C$200,3,FALSE),FALSE),FALSE)</f>
      </c>
    </row>
    <row r="159" spans="1:8" x14ac:dyDescent="0.25">
      <c r="A159" s="5">
        <v>46246.625</v>
      </c>
      <c r="B159" t="s">
        <v>12</v>
      </c>
      <c r="C159" t="s">
        <v>15</v>
      </c>
      <c r="D159" s="2">
        <v>332</v>
      </c>
      <c r="E159" t="s">
        <v>14</v>
      </c>
      <c r="F159">
        <f>TEXT(A159,"yyyy-mm")</f>
      </c>
      <c r="G159">
        <f>IF(B159="支出",IFERROR(VLOOKUP(C159,設定!$A$2:$B$200,2,FALSE),"その他"),"")</f>
      </c>
      <c r="H159">
        <f>IF(B159="支出",IFERROR(VLOOKUP(C159,設定!$A$2:$C$200,3,FALSE),FALSE),FALSE)</f>
      </c>
    </row>
    <row r="160" spans="1:8" x14ac:dyDescent="0.25">
      <c r="A160" s="5">
        <v>46246.625</v>
      </c>
      <c r="B160" t="s">
        <v>12</v>
      </c>
      <c r="C160" t="s">
        <v>18</v>
      </c>
      <c r="D160" s="2">
        <v>2705</v>
      </c>
      <c r="E160" t="s">
        <v>14</v>
      </c>
      <c r="F160">
        <f>TEXT(A160,"yyyy-mm")</f>
      </c>
      <c r="G160">
        <f>IF(B160="支出",IFERROR(VLOOKUP(C160,設定!$A$2:$B$200,2,FALSE),"その他"),"")</f>
      </c>
      <c r="H160">
        <f>IF(B160="支出",IFERROR(VLOOKUP(C160,設定!$A$2:$C$200,3,FALSE),FALSE),FALSE)</f>
      </c>
    </row>
    <row r="161" spans="1:8" x14ac:dyDescent="0.25">
      <c r="A161" s="5">
        <v>46246.625</v>
      </c>
      <c r="B161" t="s">
        <v>12</v>
      </c>
      <c r="C161" t="s">
        <v>17</v>
      </c>
      <c r="D161" s="2">
        <v>985</v>
      </c>
      <c r="E161" t="s">
        <v>14</v>
      </c>
      <c r="F161">
        <f>TEXT(A161,"yyyy-mm")</f>
      </c>
      <c r="G161">
        <f>IF(B161="支出",IFERROR(VLOOKUP(C161,設定!$A$2:$B$200,2,FALSE),"その他"),"")</f>
      </c>
      <c r="H161">
        <f>IF(B161="支出",IFERROR(VLOOKUP(C161,設定!$A$2:$C$200,3,FALSE),FALSE),FALSE)</f>
      </c>
    </row>
    <row r="162" spans="1:8" x14ac:dyDescent="0.25">
      <c r="A162" s="5">
        <v>46246.625</v>
      </c>
      <c r="B162" t="s">
        <v>12</v>
      </c>
      <c r="C162" t="s">
        <v>19</v>
      </c>
      <c r="D162" s="2">
        <v>700</v>
      </c>
      <c r="E162" t="s">
        <v>14</v>
      </c>
      <c r="F162">
        <f>TEXT(A162,"yyyy-mm")</f>
      </c>
      <c r="G162">
        <f>IF(B162="支出",IFERROR(VLOOKUP(C162,設定!$A$2:$B$200,2,FALSE),"その他"),"")</f>
      </c>
      <c r="H162">
        <f>IF(B162="支出",IFERROR(VLOOKUP(C162,設定!$A$2:$C$200,3,FALSE),FALSE),FALSE)</f>
      </c>
    </row>
    <row r="163" spans="1:8" x14ac:dyDescent="0.25">
      <c r="A163" s="5">
        <v>46246.625</v>
      </c>
      <c r="B163" t="s">
        <v>12</v>
      </c>
      <c r="C163" t="s">
        <v>27</v>
      </c>
      <c r="D163" s="2">
        <v>913</v>
      </c>
      <c r="E163" t="s">
        <v>14</v>
      </c>
      <c r="F163">
        <f>TEXT(A163,"yyyy-mm")</f>
      </c>
      <c r="G163">
        <f>IF(B163="支出",IFERROR(VLOOKUP(C163,設定!$A$2:$B$200,2,FALSE),"その他"),"")</f>
      </c>
      <c r="H163">
        <f>IF(B163="支出",IFERROR(VLOOKUP(C163,設定!$A$2:$C$200,3,FALSE),FALSE),FALSE)</f>
      </c>
    </row>
    <row r="164" spans="1:8" x14ac:dyDescent="0.25">
      <c r="A164" s="5">
        <v>46245.625</v>
      </c>
      <c r="B164" t="s">
        <v>20</v>
      </c>
      <c r="C164" t="s">
        <v>25</v>
      </c>
      <c r="D164" s="2">
        <v>10330</v>
      </c>
      <c r="E164" t="s">
        <v>79</v>
      </c>
      <c r="F164">
        <f>TEXT(A164,"yyyy-mm")</f>
      </c>
      <c r="G164">
        <f>IF(B164="支出",IFERROR(VLOOKUP(C164,設定!$A$2:$B$200,2,FALSE),"その他"),"")</f>
      </c>
      <c r="H164">
        <f>IF(B164="支出",IFERROR(VLOOKUP(C164,設定!$A$2:$C$200,3,FALSE),FALSE),FALSE)</f>
      </c>
    </row>
    <row r="165" spans="1:8" x14ac:dyDescent="0.25">
      <c r="A165" s="5">
        <v>46245.625</v>
      </c>
      <c r="B165" t="s">
        <v>12</v>
      </c>
      <c r="C165" t="s">
        <v>72</v>
      </c>
      <c r="D165" s="2">
        <v>10330</v>
      </c>
      <c r="E165" t="s">
        <v>80</v>
      </c>
      <c r="F165">
        <f>TEXT(A165,"yyyy-mm")</f>
      </c>
      <c r="G165">
        <f>IF(B165="支出",IFERROR(VLOOKUP(C165,設定!$A$2:$B$200,2,FALSE),"その他"),"")</f>
      </c>
      <c r="H165">
        <f>IF(B165="支出",IFERROR(VLOOKUP(C165,設定!$A$2:$C$200,3,FALSE),FALSE),FALSE)</f>
      </c>
    </row>
    <row r="166" spans="1:8" x14ac:dyDescent="0.25">
      <c r="A166" s="5">
        <v>46245.625</v>
      </c>
      <c r="B166" t="s">
        <v>12</v>
      </c>
      <c r="C166" t="s">
        <v>15</v>
      </c>
      <c r="D166" s="2">
        <v>779</v>
      </c>
      <c r="E166" t="s">
        <v>14</v>
      </c>
      <c r="F166">
        <f>TEXT(A166,"yyyy-mm")</f>
      </c>
      <c r="G166">
        <f>IF(B166="支出",IFERROR(VLOOKUP(C166,設定!$A$2:$B$200,2,FALSE),"その他"),"")</f>
      </c>
      <c r="H166">
        <f>IF(B166="支出",IFERROR(VLOOKUP(C166,設定!$A$2:$C$200,3,FALSE),FALSE),FALSE)</f>
      </c>
    </row>
    <row r="167" spans="1:8" x14ac:dyDescent="0.25">
      <c r="A167" s="5">
        <v>46245.625</v>
      </c>
      <c r="B167" t="s">
        <v>12</v>
      </c>
      <c r="C167" t="s">
        <v>13</v>
      </c>
      <c r="D167" s="2">
        <v>423</v>
      </c>
      <c r="E167" t="s">
        <v>14</v>
      </c>
      <c r="F167">
        <f>TEXT(A167,"yyyy-mm")</f>
      </c>
      <c r="G167">
        <f>IF(B167="支出",IFERROR(VLOOKUP(C167,設定!$A$2:$B$200,2,FALSE),"その他"),"")</f>
      </c>
      <c r="H167">
        <f>IF(B167="支出",IFERROR(VLOOKUP(C167,設定!$A$2:$C$200,3,FALSE),FALSE),FALSE)</f>
      </c>
    </row>
    <row r="168" spans="1:8" x14ac:dyDescent="0.25">
      <c r="A168" s="5">
        <v>46245.625</v>
      </c>
      <c r="B168" t="s">
        <v>12</v>
      </c>
      <c r="C168" t="s">
        <v>24</v>
      </c>
      <c r="D168" s="2">
        <v>535</v>
      </c>
      <c r="E168" t="s">
        <v>14</v>
      </c>
      <c r="F168">
        <f>TEXT(A168,"yyyy-mm")</f>
      </c>
      <c r="G168">
        <f>IF(B168="支出",IFERROR(VLOOKUP(C168,設定!$A$2:$B$200,2,FALSE),"その他"),"")</f>
      </c>
      <c r="H168">
        <f>IF(B168="支出",IFERROR(VLOOKUP(C168,設定!$A$2:$C$200,3,FALSE),FALSE),FALSE)</f>
      </c>
    </row>
    <row r="169" spans="1:8" x14ac:dyDescent="0.25">
      <c r="A169" s="5">
        <v>46245.625</v>
      </c>
      <c r="B169" t="s">
        <v>12</v>
      </c>
      <c r="C169" t="s">
        <v>18</v>
      </c>
      <c r="D169" s="2">
        <v>1892</v>
      </c>
      <c r="E169" t="s">
        <v>14</v>
      </c>
      <c r="F169">
        <f>TEXT(A169,"yyyy-mm")</f>
      </c>
      <c r="G169">
        <f>IF(B169="支出",IFERROR(VLOOKUP(C169,設定!$A$2:$B$200,2,FALSE),"その他"),"")</f>
      </c>
      <c r="H169">
        <f>IF(B169="支出",IFERROR(VLOOKUP(C169,設定!$A$2:$C$200,3,FALSE),FALSE),FALSE)</f>
      </c>
    </row>
    <row r="170" spans="1:8" x14ac:dyDescent="0.25">
      <c r="A170" s="5">
        <v>46245.625</v>
      </c>
      <c r="B170" t="s">
        <v>12</v>
      </c>
      <c r="C170" t="s">
        <v>16</v>
      </c>
      <c r="D170" s="2">
        <v>349</v>
      </c>
      <c r="E170" t="s">
        <v>14</v>
      </c>
      <c r="F170">
        <f>TEXT(A170,"yyyy-mm")</f>
      </c>
      <c r="G170">
        <f>IF(B170="支出",IFERROR(VLOOKUP(C170,設定!$A$2:$B$200,2,FALSE),"その他"),"")</f>
      </c>
      <c r="H170">
        <f>IF(B170="支出",IFERROR(VLOOKUP(C170,設定!$A$2:$C$200,3,FALSE),FALSE),FALSE)</f>
      </c>
    </row>
    <row r="171" spans="1:8" x14ac:dyDescent="0.25">
      <c r="A171" s="5">
        <v>46245.625</v>
      </c>
      <c r="B171" t="s">
        <v>12</v>
      </c>
      <c r="C171" t="s">
        <v>19</v>
      </c>
      <c r="D171" s="2">
        <v>800</v>
      </c>
      <c r="E171" t="s">
        <v>14</v>
      </c>
      <c r="F171">
        <f>TEXT(A171,"yyyy-mm")</f>
      </c>
      <c r="G171">
        <f>IF(B171="支出",IFERROR(VLOOKUP(C171,設定!$A$2:$B$200,2,FALSE),"その他"),"")</f>
      </c>
      <c r="H171">
        <f>IF(B171="支出",IFERROR(VLOOKUP(C171,設定!$A$2:$C$200,3,FALSE),FALSE),FALSE)</f>
      </c>
    </row>
    <row r="172" spans="1:8" x14ac:dyDescent="0.25">
      <c r="A172" s="5">
        <v>46245.625</v>
      </c>
      <c r="B172" t="s">
        <v>12</v>
      </c>
      <c r="C172" t="s">
        <v>27</v>
      </c>
      <c r="D172" s="2">
        <v>924</v>
      </c>
      <c r="E172" t="s">
        <v>14</v>
      </c>
      <c r="F172">
        <f>TEXT(A172,"yyyy-mm")</f>
      </c>
      <c r="G172">
        <f>IF(B172="支出",IFERROR(VLOOKUP(C172,設定!$A$2:$B$200,2,FALSE),"その他"),"")</f>
      </c>
      <c r="H172">
        <f>IF(B172="支出",IFERROR(VLOOKUP(C172,設定!$A$2:$C$200,3,FALSE),FALSE),FALSE)</f>
      </c>
    </row>
    <row r="173" spans="1:8" x14ac:dyDescent="0.25">
      <c r="A173" s="5">
        <v>46244.625</v>
      </c>
      <c r="B173" t="s">
        <v>12</v>
      </c>
      <c r="C173" t="s">
        <v>17</v>
      </c>
      <c r="D173" s="2">
        <v>218</v>
      </c>
      <c r="E173" t="s">
        <v>14</v>
      </c>
      <c r="F173">
        <f>TEXT(A173,"yyyy-mm")</f>
      </c>
      <c r="G173">
        <f>IF(B173="支出",IFERROR(VLOOKUP(C173,設定!$A$2:$B$200,2,FALSE),"その他"),"")</f>
      </c>
      <c r="H173">
        <f>IF(B173="支出",IFERROR(VLOOKUP(C173,設定!$A$2:$C$200,3,FALSE),FALSE),FALSE)</f>
      </c>
    </row>
    <row r="174" spans="1:8" x14ac:dyDescent="0.25">
      <c r="A174" s="5">
        <v>46244.625</v>
      </c>
      <c r="B174" t="s">
        <v>12</v>
      </c>
      <c r="C174" t="s">
        <v>23</v>
      </c>
      <c r="D174" s="2">
        <v>2147</v>
      </c>
      <c r="E174" t="s">
        <v>14</v>
      </c>
      <c r="F174">
        <f>TEXT(A174,"yyyy-mm")</f>
      </c>
      <c r="G174">
        <f>IF(B174="支出",IFERROR(VLOOKUP(C174,設定!$A$2:$B$200,2,FALSE),"その他"),"")</f>
      </c>
      <c r="H174">
        <f>IF(B174="支出",IFERROR(VLOOKUP(C174,設定!$A$2:$C$200,3,FALSE),FALSE),FALSE)</f>
      </c>
    </row>
    <row r="175" spans="1:8" x14ac:dyDescent="0.25">
      <c r="A175" s="5">
        <v>46244.625</v>
      </c>
      <c r="B175" t="s">
        <v>12</v>
      </c>
      <c r="C175" t="s">
        <v>15</v>
      </c>
      <c r="D175" s="2">
        <v>1776</v>
      </c>
      <c r="E175" t="s">
        <v>14</v>
      </c>
      <c r="F175">
        <f>TEXT(A175,"yyyy-mm")</f>
      </c>
      <c r="G175">
        <f>IF(B175="支出",IFERROR(VLOOKUP(C175,設定!$A$2:$B$200,2,FALSE),"その他"),"")</f>
      </c>
      <c r="H175">
        <f>IF(B175="支出",IFERROR(VLOOKUP(C175,設定!$A$2:$C$200,3,FALSE),FALSE),FALSE)</f>
      </c>
    </row>
    <row r="176" spans="1:8" x14ac:dyDescent="0.25">
      <c r="A176" s="5">
        <v>46244.625</v>
      </c>
      <c r="B176" t="s">
        <v>12</v>
      </c>
      <c r="C176" t="s">
        <v>13</v>
      </c>
      <c r="D176" s="2">
        <v>1989</v>
      </c>
      <c r="E176" t="s">
        <v>14</v>
      </c>
      <c r="F176">
        <f>TEXT(A176,"yyyy-mm")</f>
      </c>
      <c r="G176">
        <f>IF(B176="支出",IFERROR(VLOOKUP(C176,設定!$A$2:$B$200,2,FALSE),"その他"),"")</f>
      </c>
      <c r="H176">
        <f>IF(B176="支出",IFERROR(VLOOKUP(C176,設定!$A$2:$C$200,3,FALSE),FALSE),FALSE)</f>
      </c>
    </row>
    <row r="177" spans="1:8" x14ac:dyDescent="0.25">
      <c r="A177" s="5">
        <v>46244.625</v>
      </c>
      <c r="B177" t="s">
        <v>12</v>
      </c>
      <c r="C177" t="s">
        <v>18</v>
      </c>
      <c r="D177" s="2">
        <v>5844</v>
      </c>
      <c r="E177" t="s">
        <v>14</v>
      </c>
      <c r="F177">
        <f>TEXT(A177,"yyyy-mm")</f>
      </c>
      <c r="G177">
        <f>IF(B177="支出",IFERROR(VLOOKUP(C177,設定!$A$2:$B$200,2,FALSE),"その他"),"")</f>
      </c>
      <c r="H177">
        <f>IF(B177="支出",IFERROR(VLOOKUP(C177,設定!$A$2:$C$200,3,FALSE),FALSE),FALSE)</f>
      </c>
    </row>
    <row r="178" spans="1:8" x14ac:dyDescent="0.25">
      <c r="A178" s="5">
        <v>46244.625</v>
      </c>
      <c r="B178" t="s">
        <v>12</v>
      </c>
      <c r="C178" t="s">
        <v>19</v>
      </c>
      <c r="D178" s="2">
        <v>2800</v>
      </c>
      <c r="E178" t="s">
        <v>14</v>
      </c>
      <c r="F178">
        <f>TEXT(A178,"yyyy-mm")</f>
      </c>
      <c r="G178">
        <f>IF(B178="支出",IFERROR(VLOOKUP(C178,設定!$A$2:$B$200,2,FALSE),"その他"),"")</f>
      </c>
      <c r="H178">
        <f>IF(B178="支出",IFERROR(VLOOKUP(C178,設定!$A$2:$C$200,3,FALSE),FALSE),FALSE)</f>
      </c>
    </row>
    <row r="179" spans="1:8" x14ac:dyDescent="0.25">
      <c r="A179" s="5">
        <v>46243.625</v>
      </c>
      <c r="B179" t="s">
        <v>12</v>
      </c>
      <c r="C179" t="s">
        <v>16</v>
      </c>
      <c r="D179" s="2">
        <v>3652</v>
      </c>
      <c r="E179" t="s">
        <v>14</v>
      </c>
      <c r="F179">
        <f>TEXT(A179,"yyyy-mm")</f>
      </c>
      <c r="G179">
        <f>IF(B179="支出",IFERROR(VLOOKUP(C179,設定!$A$2:$B$200,2,FALSE),"その他"),"")</f>
      </c>
      <c r="H179">
        <f>IF(B179="支出",IFERROR(VLOOKUP(C179,設定!$A$2:$C$200,3,FALSE),FALSE),FALSE)</f>
      </c>
    </row>
    <row r="180" spans="1:8" x14ac:dyDescent="0.25">
      <c r="A180" s="5">
        <v>46243.625</v>
      </c>
      <c r="B180" t="s">
        <v>12</v>
      </c>
      <c r="C180" t="s">
        <v>17</v>
      </c>
      <c r="D180" s="2">
        <v>2741</v>
      </c>
      <c r="E180" t="s">
        <v>14</v>
      </c>
      <c r="F180">
        <f>TEXT(A180,"yyyy-mm")</f>
      </c>
      <c r="G180">
        <f>IF(B180="支出",IFERROR(VLOOKUP(C180,設定!$A$2:$B$200,2,FALSE),"その他"),"")</f>
      </c>
      <c r="H180">
        <f>IF(B180="支出",IFERROR(VLOOKUP(C180,設定!$A$2:$C$200,3,FALSE),FALSE),FALSE)</f>
      </c>
    </row>
    <row r="181" spans="1:8" x14ac:dyDescent="0.25">
      <c r="A181" s="5">
        <v>46243.625</v>
      </c>
      <c r="B181" t="s">
        <v>12</v>
      </c>
      <c r="C181" t="s">
        <v>13</v>
      </c>
      <c r="D181" s="2">
        <v>162</v>
      </c>
      <c r="E181" t="s">
        <v>14</v>
      </c>
      <c r="F181">
        <f>TEXT(A181,"yyyy-mm")</f>
      </c>
      <c r="G181">
        <f>IF(B181="支出",IFERROR(VLOOKUP(C181,設定!$A$2:$B$200,2,FALSE),"その他"),"")</f>
      </c>
      <c r="H181">
        <f>IF(B181="支出",IFERROR(VLOOKUP(C181,設定!$A$2:$C$200,3,FALSE),FALSE),FALSE)</f>
      </c>
    </row>
    <row r="182" spans="1:8" x14ac:dyDescent="0.25">
      <c r="A182" s="5">
        <v>46243.625</v>
      </c>
      <c r="B182" t="s">
        <v>12</v>
      </c>
      <c r="C182" t="s">
        <v>18</v>
      </c>
      <c r="D182" s="2">
        <v>2766</v>
      </c>
      <c r="E182" t="s">
        <v>14</v>
      </c>
      <c r="F182">
        <f>TEXT(A182,"yyyy-mm")</f>
      </c>
      <c r="G182">
        <f>IF(B182="支出",IFERROR(VLOOKUP(C182,設定!$A$2:$B$200,2,FALSE),"その他"),"")</f>
      </c>
      <c r="H182">
        <f>IF(B182="支出",IFERROR(VLOOKUP(C182,設定!$A$2:$C$200,3,FALSE),FALSE),FALSE)</f>
      </c>
    </row>
    <row r="183" spans="1:8" x14ac:dyDescent="0.25">
      <c r="A183" s="5">
        <v>46243.625</v>
      </c>
      <c r="B183" t="s">
        <v>12</v>
      </c>
      <c r="C183" t="s">
        <v>19</v>
      </c>
      <c r="D183" s="2">
        <v>700</v>
      </c>
      <c r="E183" t="s">
        <v>14</v>
      </c>
      <c r="F183">
        <f>TEXT(A183,"yyyy-mm")</f>
      </c>
      <c r="G183">
        <f>IF(B183="支出",IFERROR(VLOOKUP(C183,設定!$A$2:$B$200,2,FALSE),"その他"),"")</f>
      </c>
      <c r="H183">
        <f>IF(B183="支出",IFERROR(VLOOKUP(C183,設定!$A$2:$C$200,3,FALSE),FALSE),FALSE)</f>
      </c>
    </row>
    <row r="184" spans="1:8" x14ac:dyDescent="0.25">
      <c r="A184" s="5">
        <v>46243.625</v>
      </c>
      <c r="B184" t="s">
        <v>20</v>
      </c>
      <c r="C184" t="s">
        <v>62</v>
      </c>
      <c r="D184" s="2">
        <v>50000</v>
      </c>
      <c r="E184" t="s">
        <v>65</v>
      </c>
      <c r="F184">
        <f>TEXT(A184,"yyyy-mm")</f>
      </c>
      <c r="G184">
        <f>IF(B184="支出",IFERROR(VLOOKUP(C184,設定!$A$2:$B$200,2,FALSE),"その他"),"")</f>
      </c>
      <c r="H184">
        <f>IF(B184="支出",IFERROR(VLOOKUP(C184,設定!$A$2:$C$200,3,FALSE),FALSE),FALSE)</f>
      </c>
    </row>
    <row r="185" spans="1:8" x14ac:dyDescent="0.25">
      <c r="A185" s="5">
        <v>46243.625</v>
      </c>
      <c r="B185" t="s">
        <v>12</v>
      </c>
      <c r="C185" t="s">
        <v>81</v>
      </c>
      <c r="D185" s="2">
        <v>1190000</v>
      </c>
      <c r="E185" t="s">
        <v>82</v>
      </c>
      <c r="F185">
        <f>TEXT(A185,"yyyy-mm")</f>
      </c>
      <c r="G185">
        <f>IF(B185="支出",IFERROR(VLOOKUP(C185,設定!$A$2:$B$200,2,FALSE),"その他"),"")</f>
      </c>
      <c r="H185">
        <f>IF(B185="支出",IFERROR(VLOOKUP(C185,設定!$A$2:$C$200,3,FALSE),FALSE),FALSE)</f>
      </c>
    </row>
    <row r="186" spans="1:8" x14ac:dyDescent="0.25">
      <c r="A186" s="5">
        <v>46243.625</v>
      </c>
      <c r="B186" t="s">
        <v>20</v>
      </c>
      <c r="C186" t="s">
        <v>81</v>
      </c>
      <c r="D186" s="2">
        <v>1190000</v>
      </c>
      <c r="E186" t="s">
        <v>82</v>
      </c>
      <c r="F186">
        <f>TEXT(A186,"yyyy-mm")</f>
      </c>
      <c r="G186">
        <f>IF(B186="支出",IFERROR(VLOOKUP(C186,設定!$A$2:$B$200,2,FALSE),"その他"),"")</f>
      </c>
      <c r="H186">
        <f>IF(B186="支出",IFERROR(VLOOKUP(C186,設定!$A$2:$C$200,3,FALSE),FALSE),FALSE)</f>
      </c>
    </row>
    <row r="187" spans="1:8" x14ac:dyDescent="0.25">
      <c r="A187" s="5">
        <v>46243.625</v>
      </c>
      <c r="B187" t="s">
        <v>12</v>
      </c>
      <c r="C187" t="s">
        <v>83</v>
      </c>
      <c r="D187" s="2">
        <v>1590</v>
      </c>
      <c r="E187" t="s">
        <v>84</v>
      </c>
      <c r="F187">
        <f>TEXT(A187,"yyyy-mm")</f>
      </c>
      <c r="G187">
        <f>IF(B187="支出",IFERROR(VLOOKUP(C187,設定!$A$2:$B$200,2,FALSE),"その他"),"")</f>
      </c>
      <c r="H187">
        <f>IF(B187="支出",IFERROR(VLOOKUP(C187,設定!$A$2:$C$200,3,FALSE),FALSE),FALSE)</f>
      </c>
    </row>
    <row r="188" spans="1:8" x14ac:dyDescent="0.25">
      <c r="A188" s="5">
        <v>46243.625</v>
      </c>
      <c r="B188" t="s">
        <v>20</v>
      </c>
      <c r="C188" t="s">
        <v>83</v>
      </c>
      <c r="D188" s="2">
        <v>1590</v>
      </c>
      <c r="E188" t="s">
        <v>84</v>
      </c>
      <c r="F188">
        <f>TEXT(A188,"yyyy-mm")</f>
      </c>
      <c r="G188">
        <f>IF(B188="支出",IFERROR(VLOOKUP(C188,設定!$A$2:$B$200,2,FALSE),"その他"),"")</f>
      </c>
      <c r="H188">
        <f>IF(B188="支出",IFERROR(VLOOKUP(C188,設定!$A$2:$C$200,3,FALSE),FALSE),FALSE)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.8" customWidth="1"/>
  </cols>
  <sheetData>
    <row r="1" ht="22" customHeight="1" spans="1:4" s="1" customFormat="1" x14ac:dyDescent="0.25">
      <c r="A1" s="1" t="s">
        <v>0</v>
      </c>
      <c r="B1" s="1" t="s">
        <v>7</v>
      </c>
      <c r="C1" s="1" t="s">
        <v>85</v>
      </c>
      <c r="D1" s="1" t="s">
        <v>86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.8" customWidth="1"/>
  </cols>
  <sheetData>
    <row r="1" ht="22" customHeight="1" spans="1:6" s="1" customFormat="1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</v>
      </c>
    </row>
    <row r="2" spans="1:6" x14ac:dyDescent="0.25">
      <c r="A2" t="s">
        <v>92</v>
      </c>
      <c r="B2" t="s">
        <v>93</v>
      </c>
      <c r="C2" t="s">
        <v>94</v>
      </c>
      <c r="D2" s="2">
        <v>1607226</v>
      </c>
      <c r="E2" s="2">
        <v>0</v>
      </c>
      <c r="F2" t="s">
        <v>14</v>
      </c>
    </row>
    <row r="3" spans="1:6" x14ac:dyDescent="0.25">
      <c r="A3" t="s">
        <v>95</v>
      </c>
      <c r="B3" t="s">
        <v>96</v>
      </c>
      <c r="C3" t="s">
        <v>94</v>
      </c>
      <c r="D3" s="2">
        <v>487051</v>
      </c>
      <c r="E3" s="2">
        <v>0</v>
      </c>
      <c r="F3" t="s">
        <v>14</v>
      </c>
    </row>
    <row r="4" spans="1:6" x14ac:dyDescent="0.25">
      <c r="A4" t="s">
        <v>97</v>
      </c>
      <c r="B4" t="s">
        <v>98</v>
      </c>
      <c r="C4" t="s">
        <v>94</v>
      </c>
      <c r="D4" s="2">
        <v>2488544</v>
      </c>
      <c r="E4" s="2">
        <v>0</v>
      </c>
      <c r="F4" t="s">
        <v>14</v>
      </c>
    </row>
    <row r="5" spans="1:6" x14ac:dyDescent="0.25">
      <c r="A5" t="s">
        <v>99</v>
      </c>
      <c r="B5" t="s">
        <v>100</v>
      </c>
      <c r="C5" t="s">
        <v>94</v>
      </c>
      <c r="D5" s="2">
        <v>937822</v>
      </c>
      <c r="E5" s="2">
        <v>0</v>
      </c>
      <c r="F5" t="s">
        <v>14</v>
      </c>
    </row>
    <row r="6" spans="1:6" x14ac:dyDescent="0.25">
      <c r="A6" t="s">
        <v>101</v>
      </c>
      <c r="B6" t="s">
        <v>102</v>
      </c>
      <c r="C6" t="s">
        <v>94</v>
      </c>
      <c r="D6" s="2">
        <v>42398</v>
      </c>
      <c r="E6" s="2">
        <v>0</v>
      </c>
      <c r="F6" t="s">
        <v>14</v>
      </c>
    </row>
    <row r="7" spans="1:6" x14ac:dyDescent="0.25">
      <c r="A7" t="s">
        <v>103</v>
      </c>
      <c r="B7" t="s">
        <v>104</v>
      </c>
      <c r="C7" t="s">
        <v>94</v>
      </c>
      <c r="D7" s="2">
        <v>36103</v>
      </c>
      <c r="E7" s="2">
        <v>0</v>
      </c>
      <c r="F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7" width="16.8" customWidth="1"/>
    <col min="8" max="8" width="39.2" customWidth="1"/>
    <col min="9" max="9" width="16.8" customWidth="1"/>
  </cols>
  <sheetData>
    <row r="1" ht="22" customHeight="1" spans="1:9" s="1" customFormat="1" x14ac:dyDescent="0.25">
      <c r="A1" s="1" t="s">
        <v>5</v>
      </c>
      <c r="B1" s="1" t="s">
        <v>87</v>
      </c>
      <c r="C1" s="1" t="s">
        <v>6</v>
      </c>
      <c r="D1" s="1" t="s">
        <v>7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 spans="1:9" x14ac:dyDescent="0.25">
      <c r="A2" s="5">
        <v>46264.625</v>
      </c>
      <c r="B2" t="s">
        <v>99</v>
      </c>
      <c r="C2" t="s">
        <v>105</v>
      </c>
      <c r="D2" t="s">
        <v>110</v>
      </c>
      <c r="E2" s="2">
        <v>83997</v>
      </c>
      <c r="F2" s="2"/>
      <c r="G2" s="2">
        <v>951353</v>
      </c>
      <c r="H2" t="s">
        <v>14</v>
      </c>
      <c r="I2" t="s">
        <v>14</v>
      </c>
    </row>
    <row r="3" spans="1:9" x14ac:dyDescent="0.25">
      <c r="A3" s="5">
        <v>46264.625</v>
      </c>
      <c r="B3" t="s">
        <v>95</v>
      </c>
      <c r="C3" t="s">
        <v>105</v>
      </c>
      <c r="D3" t="s">
        <v>21</v>
      </c>
      <c r="E3" s="2">
        <v>20000</v>
      </c>
      <c r="F3" s="2"/>
      <c r="G3" s="2">
        <v>519051</v>
      </c>
      <c r="H3" t="s">
        <v>14</v>
      </c>
      <c r="I3" t="s">
        <v>14</v>
      </c>
    </row>
    <row r="4" spans="1:9" x14ac:dyDescent="0.25">
      <c r="A4" s="5">
        <v>46264.625</v>
      </c>
      <c r="B4" t="s">
        <v>95</v>
      </c>
      <c r="C4" t="s">
        <v>106</v>
      </c>
      <c r="D4" t="s">
        <v>111</v>
      </c>
      <c r="E4" s="2"/>
      <c r="F4" s="2">
        <v>55000</v>
      </c>
      <c r="G4" s="2">
        <v>539051</v>
      </c>
      <c r="H4" t="s">
        <v>14</v>
      </c>
      <c r="I4" t="s">
        <v>14</v>
      </c>
    </row>
    <row r="5" spans="1:9" x14ac:dyDescent="0.25">
      <c r="A5" s="5">
        <v>46261.625</v>
      </c>
      <c r="B5" t="s">
        <v>95</v>
      </c>
      <c r="C5" t="s">
        <v>105</v>
      </c>
      <c r="D5" t="s">
        <v>21</v>
      </c>
      <c r="E5" s="2">
        <v>40000</v>
      </c>
      <c r="F5" s="2"/>
      <c r="G5" s="2">
        <v>484051</v>
      </c>
      <c r="H5" t="s">
        <v>14</v>
      </c>
      <c r="I5" t="s">
        <v>14</v>
      </c>
    </row>
    <row r="6" spans="1:9" x14ac:dyDescent="0.25">
      <c r="A6" s="5">
        <v>46260.625</v>
      </c>
      <c r="B6" t="s">
        <v>101</v>
      </c>
      <c r="C6" t="s">
        <v>105</v>
      </c>
      <c r="D6" t="s">
        <v>27</v>
      </c>
      <c r="E6" s="2">
        <v>15357</v>
      </c>
      <c r="F6" s="2"/>
      <c r="G6" s="2">
        <v>114088</v>
      </c>
      <c r="H6" t="s">
        <v>14</v>
      </c>
      <c r="I6" t="s">
        <v>14</v>
      </c>
    </row>
    <row r="7" spans="1:9" x14ac:dyDescent="0.25">
      <c r="A7" s="5">
        <v>46260.625</v>
      </c>
      <c r="B7" t="s">
        <v>101</v>
      </c>
      <c r="C7" t="s">
        <v>105</v>
      </c>
      <c r="D7" t="s">
        <v>34</v>
      </c>
      <c r="E7" s="2">
        <v>9034</v>
      </c>
      <c r="F7" s="2"/>
      <c r="G7" s="2">
        <v>114088</v>
      </c>
      <c r="H7" t="s">
        <v>14</v>
      </c>
      <c r="I7" t="s">
        <v>14</v>
      </c>
    </row>
    <row r="8" spans="1:9" x14ac:dyDescent="0.25">
      <c r="A8" s="5">
        <v>46260.625</v>
      </c>
      <c r="B8" t="s">
        <v>101</v>
      </c>
      <c r="C8" t="s">
        <v>105</v>
      </c>
      <c r="D8" t="s">
        <v>34</v>
      </c>
      <c r="E8" s="2">
        <v>1908</v>
      </c>
      <c r="F8" s="2"/>
      <c r="G8" s="2">
        <v>138479</v>
      </c>
      <c r="H8" t="s">
        <v>14</v>
      </c>
      <c r="I8" t="s">
        <v>14</v>
      </c>
    </row>
    <row r="9" spans="1:9" x14ac:dyDescent="0.25">
      <c r="A9" s="5">
        <v>46260.625</v>
      </c>
      <c r="B9" t="s">
        <v>103</v>
      </c>
      <c r="C9" t="s">
        <v>105</v>
      </c>
      <c r="D9" t="s">
        <v>25</v>
      </c>
      <c r="E9" s="2">
        <v>1934</v>
      </c>
      <c r="F9" s="2"/>
      <c r="G9" s="2">
        <v>36103</v>
      </c>
      <c r="H9" t="s">
        <v>75</v>
      </c>
      <c r="I9" t="s">
        <v>14</v>
      </c>
    </row>
    <row r="10" spans="1:9" x14ac:dyDescent="0.25">
      <c r="A10" s="5">
        <v>46260.625</v>
      </c>
      <c r="B10" t="s">
        <v>92</v>
      </c>
      <c r="C10" t="s">
        <v>105</v>
      </c>
      <c r="D10" t="s">
        <v>25</v>
      </c>
      <c r="E10" s="2">
        <v>3619</v>
      </c>
      <c r="F10" s="2"/>
      <c r="G10" s="2">
        <v>1607226</v>
      </c>
      <c r="H10" t="s">
        <v>112</v>
      </c>
      <c r="I10" t="s">
        <v>14</v>
      </c>
    </row>
    <row r="11" spans="1:9" x14ac:dyDescent="0.25">
      <c r="A11" s="5">
        <v>46260.625</v>
      </c>
      <c r="B11" t="s">
        <v>92</v>
      </c>
      <c r="C11" t="s">
        <v>105</v>
      </c>
      <c r="D11" t="s">
        <v>34</v>
      </c>
      <c r="E11" s="2">
        <v>14194</v>
      </c>
      <c r="F11" s="2"/>
      <c r="G11" s="2">
        <v>1610845</v>
      </c>
      <c r="H11" t="s">
        <v>14</v>
      </c>
      <c r="I11" t="s">
        <v>14</v>
      </c>
    </row>
    <row r="12" spans="1:9" x14ac:dyDescent="0.25">
      <c r="A12" s="5">
        <v>46260.625</v>
      </c>
      <c r="B12" t="s">
        <v>95</v>
      </c>
      <c r="C12" t="s">
        <v>105</v>
      </c>
      <c r="D12" t="s">
        <v>25</v>
      </c>
      <c r="E12" s="2">
        <v>97999</v>
      </c>
      <c r="F12" s="2"/>
      <c r="G12" s="2">
        <v>524051</v>
      </c>
      <c r="H12" t="s">
        <v>43</v>
      </c>
      <c r="I12" t="s">
        <v>14</v>
      </c>
    </row>
    <row r="13" spans="1:9" x14ac:dyDescent="0.25">
      <c r="A13" s="5">
        <v>46260.625</v>
      </c>
      <c r="B13" t="s">
        <v>95</v>
      </c>
      <c r="C13" t="s">
        <v>105</v>
      </c>
      <c r="D13" t="s">
        <v>25</v>
      </c>
      <c r="E13" s="2">
        <v>56756</v>
      </c>
      <c r="F13" s="2"/>
      <c r="G13" s="2">
        <v>622050</v>
      </c>
      <c r="H13" t="s">
        <v>43</v>
      </c>
      <c r="I13" t="s">
        <v>14</v>
      </c>
    </row>
    <row r="14" spans="1:9" x14ac:dyDescent="0.25">
      <c r="A14" s="5">
        <v>46260.625</v>
      </c>
      <c r="B14" t="s">
        <v>95</v>
      </c>
      <c r="C14" t="s">
        <v>105</v>
      </c>
      <c r="D14" t="s">
        <v>25</v>
      </c>
      <c r="E14" s="2">
        <v>28100</v>
      </c>
      <c r="F14" s="2"/>
      <c r="G14" s="2">
        <v>678806</v>
      </c>
      <c r="H14" t="s">
        <v>113</v>
      </c>
      <c r="I14" t="s">
        <v>14</v>
      </c>
    </row>
    <row r="15" spans="1:9" x14ac:dyDescent="0.25">
      <c r="A15" s="5">
        <v>46260.625</v>
      </c>
      <c r="B15" t="s">
        <v>95</v>
      </c>
      <c r="C15" t="s">
        <v>105</v>
      </c>
      <c r="D15" t="s">
        <v>21</v>
      </c>
      <c r="E15" s="2">
        <v>10000</v>
      </c>
      <c r="F15" s="2"/>
      <c r="G15" s="2">
        <v>706906</v>
      </c>
      <c r="H15" t="s">
        <v>14</v>
      </c>
      <c r="I15" t="s">
        <v>14</v>
      </c>
    </row>
    <row r="16" spans="1:9" x14ac:dyDescent="0.25">
      <c r="A16" s="5">
        <v>46259.625</v>
      </c>
      <c r="B16" t="s">
        <v>103</v>
      </c>
      <c r="C16" t="s">
        <v>105</v>
      </c>
      <c r="D16" t="s">
        <v>27</v>
      </c>
      <c r="E16" s="2">
        <v>11963</v>
      </c>
      <c r="F16" s="2"/>
      <c r="G16" s="2">
        <v>38037</v>
      </c>
      <c r="H16" t="s">
        <v>114</v>
      </c>
      <c r="I16" t="s">
        <v>14</v>
      </c>
    </row>
    <row r="17" spans="1:9" x14ac:dyDescent="0.25">
      <c r="A17" s="5">
        <v>46258.625</v>
      </c>
      <c r="B17" t="s">
        <v>95</v>
      </c>
      <c r="C17" t="s">
        <v>105</v>
      </c>
      <c r="D17" t="s">
        <v>45</v>
      </c>
      <c r="E17" s="2">
        <v>8176</v>
      </c>
      <c r="F17" s="2"/>
      <c r="G17" s="2">
        <v>716906</v>
      </c>
      <c r="H17" t="s">
        <v>115</v>
      </c>
      <c r="I17" t="s">
        <v>14</v>
      </c>
    </row>
    <row r="18" spans="1:9" x14ac:dyDescent="0.25">
      <c r="A18" s="5">
        <v>46257.625</v>
      </c>
      <c r="B18" t="s">
        <v>92</v>
      </c>
      <c r="C18" t="s">
        <v>105</v>
      </c>
      <c r="D18" t="s">
        <v>116</v>
      </c>
      <c r="E18" s="2">
        <v>200000</v>
      </c>
      <c r="F18" s="2"/>
      <c r="G18" s="2">
        <v>1625039</v>
      </c>
      <c r="H18" t="s">
        <v>117</v>
      </c>
      <c r="I18" t="s">
        <v>14</v>
      </c>
    </row>
    <row r="19" spans="1:9" x14ac:dyDescent="0.25">
      <c r="A19" s="5">
        <v>46257.625</v>
      </c>
      <c r="B19" t="s">
        <v>101</v>
      </c>
      <c r="C19" t="s">
        <v>106</v>
      </c>
      <c r="D19" t="s">
        <v>14</v>
      </c>
      <c r="E19" s="2"/>
      <c r="F19" s="2">
        <v>140000</v>
      </c>
      <c r="G19" s="2">
        <v>140387</v>
      </c>
      <c r="H19" t="s">
        <v>118</v>
      </c>
      <c r="I19" t="s">
        <v>14</v>
      </c>
    </row>
    <row r="20" spans="1:9" x14ac:dyDescent="0.25">
      <c r="A20" s="5">
        <v>46256.625</v>
      </c>
      <c r="B20" t="s">
        <v>103</v>
      </c>
      <c r="C20" t="s">
        <v>105</v>
      </c>
      <c r="D20" t="s">
        <v>21</v>
      </c>
      <c r="E20" s="2">
        <v>10000</v>
      </c>
      <c r="F20" s="2"/>
      <c r="G20" s="2">
        <v>50000</v>
      </c>
      <c r="H20" t="s">
        <v>14</v>
      </c>
      <c r="I20" t="s">
        <v>14</v>
      </c>
    </row>
    <row r="21" spans="1:9" x14ac:dyDescent="0.25">
      <c r="A21" s="5">
        <v>46255.625</v>
      </c>
      <c r="B21" t="s">
        <v>103</v>
      </c>
      <c r="C21" t="s">
        <v>105</v>
      </c>
      <c r="D21" t="s">
        <v>21</v>
      </c>
      <c r="E21" s="2">
        <v>10000</v>
      </c>
      <c r="F21" s="2"/>
      <c r="G21" s="2">
        <v>60000</v>
      </c>
      <c r="H21" t="s">
        <v>14</v>
      </c>
      <c r="I21" t="s">
        <v>14</v>
      </c>
    </row>
    <row r="22" spans="1:9" x14ac:dyDescent="0.25">
      <c r="A22" s="5">
        <v>46253.625</v>
      </c>
      <c r="B22" t="s">
        <v>95</v>
      </c>
      <c r="C22" t="s">
        <v>105</v>
      </c>
      <c r="D22" t="s">
        <v>21</v>
      </c>
      <c r="E22" s="2">
        <v>20000</v>
      </c>
      <c r="F22" s="2"/>
      <c r="G22" s="2">
        <v>725082</v>
      </c>
      <c r="H22" t="s">
        <v>14</v>
      </c>
      <c r="I22" t="s">
        <v>14</v>
      </c>
    </row>
    <row r="23" spans="1:9" x14ac:dyDescent="0.25">
      <c r="A23" s="5">
        <v>46250.625</v>
      </c>
      <c r="B23" t="s">
        <v>97</v>
      </c>
      <c r="C23" t="s">
        <v>106</v>
      </c>
      <c r="D23" t="s">
        <v>119</v>
      </c>
      <c r="E23" s="2"/>
      <c r="F23" s="2">
        <v>328</v>
      </c>
      <c r="G23" s="2">
        <v>2488644</v>
      </c>
      <c r="H23" t="s">
        <v>14</v>
      </c>
      <c r="I23" t="s">
        <v>14</v>
      </c>
    </row>
    <row r="24" spans="1:9" x14ac:dyDescent="0.25">
      <c r="A24" s="5">
        <v>46248.625</v>
      </c>
      <c r="B24" t="s">
        <v>92</v>
      </c>
      <c r="C24" t="s">
        <v>106</v>
      </c>
      <c r="D24" t="s">
        <v>119</v>
      </c>
      <c r="E24" s="2"/>
      <c r="F24" s="2">
        <v>3654</v>
      </c>
      <c r="G24" s="2">
        <v>1625039</v>
      </c>
      <c r="H24" t="s">
        <v>14</v>
      </c>
      <c r="I24" t="s">
        <v>14</v>
      </c>
    </row>
    <row r="25" spans="1:9" x14ac:dyDescent="0.25">
      <c r="A25" s="5">
        <v>46248.625</v>
      </c>
      <c r="B25" t="s">
        <v>99</v>
      </c>
      <c r="C25" t="s">
        <v>106</v>
      </c>
      <c r="D25" t="s">
        <v>119</v>
      </c>
      <c r="E25" s="2"/>
      <c r="F25" s="2">
        <v>1068</v>
      </c>
      <c r="G25" s="2">
        <v>1035350</v>
      </c>
      <c r="H25" t="s">
        <v>14</v>
      </c>
      <c r="I25" t="s">
        <v>14</v>
      </c>
    </row>
    <row r="26" spans="1:9" x14ac:dyDescent="0.25">
      <c r="A26" s="5">
        <v>46248.625</v>
      </c>
      <c r="B26" t="s">
        <v>95</v>
      </c>
      <c r="C26" t="s">
        <v>106</v>
      </c>
      <c r="D26" t="s">
        <v>119</v>
      </c>
      <c r="E26" s="2"/>
      <c r="F26" s="2">
        <v>255</v>
      </c>
      <c r="G26" s="2">
        <v>745082</v>
      </c>
      <c r="H26" t="s">
        <v>14</v>
      </c>
      <c r="I26" t="s">
        <v>14</v>
      </c>
    </row>
    <row r="27" spans="1:9" x14ac:dyDescent="0.25">
      <c r="A27" s="5">
        <v>46247.625</v>
      </c>
      <c r="B27" t="s">
        <v>92</v>
      </c>
      <c r="C27" t="s">
        <v>105</v>
      </c>
      <c r="D27" t="s">
        <v>25</v>
      </c>
      <c r="E27" s="2">
        <v>120000</v>
      </c>
      <c r="F27" s="2"/>
      <c r="G27" s="2">
        <v>1821385</v>
      </c>
      <c r="H27" t="s">
        <v>120</v>
      </c>
      <c r="I27" t="s">
        <v>14</v>
      </c>
    </row>
    <row r="28" spans="1:9" x14ac:dyDescent="0.25">
      <c r="A28" s="5">
        <v>46247.625</v>
      </c>
      <c r="B28" t="s">
        <v>95</v>
      </c>
      <c r="C28" t="s">
        <v>121</v>
      </c>
      <c r="D28" t="s">
        <v>81</v>
      </c>
      <c r="E28" s="2"/>
      <c r="F28" s="2">
        <v>92783</v>
      </c>
      <c r="G28" s="2">
        <v>744827</v>
      </c>
      <c r="H28" t="s">
        <v>122</v>
      </c>
      <c r="I28" t="s">
        <v>14</v>
      </c>
    </row>
    <row r="29" spans="1:9" x14ac:dyDescent="0.25">
      <c r="A29" s="5">
        <v>46243.625</v>
      </c>
      <c r="B29" t="s">
        <v>103</v>
      </c>
      <c r="C29" t="s">
        <v>106</v>
      </c>
      <c r="D29" t="s">
        <v>123</v>
      </c>
      <c r="E29" s="2"/>
      <c r="F29" s="2">
        <v>70000</v>
      </c>
      <c r="G29" s="2">
        <v>70000</v>
      </c>
      <c r="H29" t="s">
        <v>14</v>
      </c>
      <c r="I29" t="s">
        <v>14</v>
      </c>
    </row>
    <row r="30" spans="1:9" x14ac:dyDescent="0.25">
      <c r="A30" s="5">
        <v>46243.625</v>
      </c>
      <c r="B30" t="s">
        <v>101</v>
      </c>
      <c r="C30" t="s">
        <v>105</v>
      </c>
      <c r="D30" t="s">
        <v>83</v>
      </c>
      <c r="E30" s="2">
        <v>3225</v>
      </c>
      <c r="F30" s="2"/>
      <c r="G30" s="2">
        <v>387</v>
      </c>
      <c r="H30" t="s">
        <v>34</v>
      </c>
      <c r="I30" t="s">
        <v>14</v>
      </c>
    </row>
    <row r="31" spans="1:9" x14ac:dyDescent="0.25">
      <c r="A31" s="5">
        <v>46243.625</v>
      </c>
      <c r="B31" t="s">
        <v>101</v>
      </c>
      <c r="C31" t="s">
        <v>106</v>
      </c>
      <c r="D31" t="s">
        <v>25</v>
      </c>
      <c r="E31" s="2"/>
      <c r="F31" s="2">
        <v>3612</v>
      </c>
      <c r="G31" s="2">
        <v>3612</v>
      </c>
      <c r="H31" t="s">
        <v>14</v>
      </c>
      <c r="I31" t="s">
        <v>14</v>
      </c>
    </row>
    <row r="32" spans="1:9" x14ac:dyDescent="0.25">
      <c r="A32" s="5">
        <v>46243.625</v>
      </c>
      <c r="B32" t="s">
        <v>99</v>
      </c>
      <c r="C32" t="s">
        <v>105</v>
      </c>
      <c r="D32" t="s">
        <v>25</v>
      </c>
      <c r="E32" s="2">
        <v>410000</v>
      </c>
      <c r="F32" s="2"/>
      <c r="G32" s="2">
        <v>1034282</v>
      </c>
      <c r="H32" t="s">
        <v>14</v>
      </c>
      <c r="I32" t="s">
        <v>14</v>
      </c>
    </row>
    <row r="33" spans="1:9" x14ac:dyDescent="0.25">
      <c r="A33" s="5">
        <v>46243.625</v>
      </c>
      <c r="B33" t="s">
        <v>99</v>
      </c>
      <c r="C33" t="s">
        <v>106</v>
      </c>
      <c r="D33" t="s">
        <v>124</v>
      </c>
      <c r="E33" s="2"/>
      <c r="F33" s="2">
        <v>594000</v>
      </c>
      <c r="G33" s="2">
        <v>1444282</v>
      </c>
      <c r="H33" t="s">
        <v>14</v>
      </c>
      <c r="I33" t="s">
        <v>14</v>
      </c>
    </row>
    <row r="34" spans="1:9" x14ac:dyDescent="0.25">
      <c r="A34" s="5">
        <v>46243.625</v>
      </c>
      <c r="B34" t="s">
        <v>99</v>
      </c>
      <c r="C34" t="s">
        <v>106</v>
      </c>
      <c r="D34" t="s">
        <v>25</v>
      </c>
      <c r="E34" s="2"/>
      <c r="F34" s="2">
        <v>850282</v>
      </c>
      <c r="G34" s="2">
        <v>850282</v>
      </c>
      <c r="H34" t="s">
        <v>14</v>
      </c>
      <c r="I34" t="s">
        <v>14</v>
      </c>
    </row>
    <row r="35" spans="1:9" x14ac:dyDescent="0.25">
      <c r="A35" s="5">
        <v>46243.625</v>
      </c>
      <c r="B35" t="s">
        <v>97</v>
      </c>
      <c r="C35" t="s">
        <v>106</v>
      </c>
      <c r="D35" t="s">
        <v>25</v>
      </c>
      <c r="E35" s="2"/>
      <c r="F35" s="2">
        <v>2488316</v>
      </c>
      <c r="G35" s="2">
        <v>2488316</v>
      </c>
      <c r="H35" t="s">
        <v>14</v>
      </c>
      <c r="I35" t="s">
        <v>14</v>
      </c>
    </row>
    <row r="36" spans="1:9" x14ac:dyDescent="0.25">
      <c r="A36" s="5">
        <v>46243.625</v>
      </c>
      <c r="B36" t="s">
        <v>92</v>
      </c>
      <c r="C36" t="s">
        <v>105</v>
      </c>
      <c r="D36" t="s">
        <v>81</v>
      </c>
      <c r="E36" s="2">
        <v>1190000</v>
      </c>
      <c r="F36" s="2"/>
      <c r="G36" s="2">
        <v>1941385</v>
      </c>
      <c r="H36" t="s">
        <v>125</v>
      </c>
      <c r="I36" t="s">
        <v>14</v>
      </c>
    </row>
    <row r="37" spans="1:9" x14ac:dyDescent="0.25">
      <c r="A37" s="5">
        <v>46243.625</v>
      </c>
      <c r="B37" t="s">
        <v>92</v>
      </c>
      <c r="C37" t="s">
        <v>105</v>
      </c>
      <c r="D37" t="s">
        <v>83</v>
      </c>
      <c r="E37" s="2">
        <v>1590</v>
      </c>
      <c r="F37" s="2"/>
      <c r="G37" s="2">
        <v>3131385</v>
      </c>
      <c r="H37" t="s">
        <v>126</v>
      </c>
      <c r="I37" t="s">
        <v>14</v>
      </c>
    </row>
    <row r="38" spans="1:9" x14ac:dyDescent="0.25">
      <c r="A38" s="5">
        <v>46243.625</v>
      </c>
      <c r="B38" t="s">
        <v>92</v>
      </c>
      <c r="C38" t="s">
        <v>106</v>
      </c>
      <c r="D38" t="s">
        <v>25</v>
      </c>
      <c r="E38" s="2"/>
      <c r="F38" s="2">
        <v>100000</v>
      </c>
      <c r="G38" s="2">
        <v>3132975</v>
      </c>
      <c r="H38" t="s">
        <v>14</v>
      </c>
      <c r="I38" t="s">
        <v>14</v>
      </c>
    </row>
    <row r="39" spans="1:9" x14ac:dyDescent="0.25">
      <c r="A39" s="5">
        <v>46243.625</v>
      </c>
      <c r="B39" t="s">
        <v>95</v>
      </c>
      <c r="C39" t="s">
        <v>105</v>
      </c>
      <c r="D39" t="s">
        <v>25</v>
      </c>
      <c r="E39" s="2">
        <v>50000</v>
      </c>
      <c r="F39" s="2"/>
      <c r="G39" s="2">
        <v>652044</v>
      </c>
      <c r="H39" t="s">
        <v>21</v>
      </c>
      <c r="I39" t="s">
        <v>14</v>
      </c>
    </row>
    <row r="40" spans="1:9" x14ac:dyDescent="0.25">
      <c r="A40" s="5">
        <v>46243.625</v>
      </c>
      <c r="B40" t="s">
        <v>95</v>
      </c>
      <c r="C40" t="s">
        <v>106</v>
      </c>
      <c r="D40" t="s">
        <v>123</v>
      </c>
      <c r="E40" s="2"/>
      <c r="F40" s="2">
        <v>200000</v>
      </c>
      <c r="G40" s="2">
        <v>702044</v>
      </c>
      <c r="H40" t="s">
        <v>14</v>
      </c>
      <c r="I40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2" customWidth="1"/>
  </cols>
  <sheetData>
    <row r="1" spans="1:3" s="6" customFormat="1" x14ac:dyDescent="0.25">
      <c r="A1" s="6" t="s">
        <v>127</v>
      </c>
      <c r="B1" s="6" t="s">
        <v>10</v>
      </c>
      <c r="C1" s="6" t="s">
        <v>128</v>
      </c>
    </row>
    <row r="2" spans="1:3" x14ac:dyDescent="0.25">
      <c r="A2" t="s">
        <v>13</v>
      </c>
      <c r="B2" t="s">
        <v>129</v>
      </c>
      <c r="C2" s="7" t="b">
        <v>1</v>
      </c>
    </row>
    <row r="3" spans="1:3" x14ac:dyDescent="0.25">
      <c r="A3" t="s">
        <v>15</v>
      </c>
      <c r="B3" t="s">
        <v>129</v>
      </c>
      <c r="C3" s="7" t="b">
        <v>1</v>
      </c>
    </row>
    <row r="4" spans="1:3" x14ac:dyDescent="0.25">
      <c r="A4" t="s">
        <v>16</v>
      </c>
      <c r="B4" t="s">
        <v>130</v>
      </c>
      <c r="C4" s="7" t="b">
        <v>1</v>
      </c>
    </row>
    <row r="5" spans="1:3" x14ac:dyDescent="0.25">
      <c r="A5" t="s">
        <v>17</v>
      </c>
      <c r="B5" t="s">
        <v>131</v>
      </c>
      <c r="C5" s="7" t="b">
        <v>1</v>
      </c>
    </row>
    <row r="6" spans="1:3" x14ac:dyDescent="0.25">
      <c r="A6" t="s">
        <v>18</v>
      </c>
      <c r="B6" t="s">
        <v>129</v>
      </c>
      <c r="C6" s="7" t="b">
        <v>1</v>
      </c>
    </row>
    <row r="7" spans="1:3" x14ac:dyDescent="0.25">
      <c r="A7" t="s">
        <v>19</v>
      </c>
      <c r="B7" t="s">
        <v>130</v>
      </c>
      <c r="C7" s="7" t="b">
        <v>1</v>
      </c>
    </row>
    <row r="8" spans="1:3" x14ac:dyDescent="0.25">
      <c r="A8" t="s">
        <v>23</v>
      </c>
      <c r="B8" t="s">
        <v>129</v>
      </c>
      <c r="C8" s="7" t="b">
        <v>1</v>
      </c>
    </row>
    <row r="9" spans="1:3" x14ac:dyDescent="0.25">
      <c r="A9" t="s">
        <v>24</v>
      </c>
      <c r="B9" t="s">
        <v>129</v>
      </c>
      <c r="C9" s="7" t="b">
        <v>1</v>
      </c>
    </row>
    <row r="10" spans="1:3" x14ac:dyDescent="0.25">
      <c r="A10" t="s">
        <v>25</v>
      </c>
      <c r="B10" t="s">
        <v>25</v>
      </c>
      <c r="C10" s="7" t="b">
        <v>1</v>
      </c>
    </row>
    <row r="11" spans="1:3" x14ac:dyDescent="0.25">
      <c r="A11" t="s">
        <v>27</v>
      </c>
      <c r="B11" t="s">
        <v>132</v>
      </c>
      <c r="C11" s="7" t="b">
        <v>1</v>
      </c>
    </row>
    <row r="12" spans="1:3" x14ac:dyDescent="0.25">
      <c r="A12" t="s">
        <v>29</v>
      </c>
      <c r="B12" t="s">
        <v>132</v>
      </c>
      <c r="C12" s="7" t="b">
        <v>1</v>
      </c>
    </row>
    <row r="13" spans="1:3" x14ac:dyDescent="0.25">
      <c r="A13" t="s">
        <v>34</v>
      </c>
      <c r="B13" t="s">
        <v>133</v>
      </c>
      <c r="C13" s="7" t="b">
        <v>1</v>
      </c>
    </row>
    <row r="14" spans="1:3" x14ac:dyDescent="0.25">
      <c r="A14" t="s">
        <v>40</v>
      </c>
      <c r="B14" t="s">
        <v>134</v>
      </c>
      <c r="C14" s="7" t="b">
        <v>1</v>
      </c>
    </row>
    <row r="15" spans="1:3" x14ac:dyDescent="0.25">
      <c r="A15" t="s">
        <v>45</v>
      </c>
      <c r="B15" t="s">
        <v>135</v>
      </c>
      <c r="C15" s="7" t="b">
        <v>1</v>
      </c>
    </row>
    <row r="16" spans="1:3" x14ac:dyDescent="0.25">
      <c r="A16" t="s">
        <v>53</v>
      </c>
      <c r="B16" t="s">
        <v>135</v>
      </c>
      <c r="C16" s="7" t="b">
        <v>1</v>
      </c>
    </row>
    <row r="17" spans="1:3" x14ac:dyDescent="0.25">
      <c r="A17" t="s">
        <v>57</v>
      </c>
      <c r="B17" t="s">
        <v>133</v>
      </c>
      <c r="C17" s="7" t="b">
        <v>1</v>
      </c>
    </row>
    <row r="18" spans="1:3" x14ac:dyDescent="0.25">
      <c r="A18" t="s">
        <v>72</v>
      </c>
      <c r="B18" t="s">
        <v>134</v>
      </c>
      <c r="C18" s="7" t="b">
        <v>1</v>
      </c>
    </row>
    <row r="19" spans="1:3" x14ac:dyDescent="0.25">
      <c r="A19" t="s">
        <v>75</v>
      </c>
      <c r="B19" t="s">
        <v>135</v>
      </c>
      <c r="C19" s="7" t="b">
        <v>1</v>
      </c>
    </row>
    <row r="20" spans="1:3" x14ac:dyDescent="0.25">
      <c r="A20" t="s">
        <v>81</v>
      </c>
      <c r="B20" t="s">
        <v>134</v>
      </c>
      <c r="C20" s="7" t="b">
        <v>1</v>
      </c>
    </row>
    <row r="21" spans="1:3" x14ac:dyDescent="0.25">
      <c r="A21" t="s">
        <v>83</v>
      </c>
      <c r="B21" t="s">
        <v>136</v>
      </c>
      <c r="C21" s="7" t="b">
        <v>1</v>
      </c>
    </row>
    <row r="23" spans="1:10" x14ac:dyDescent="0.25">
      <c r="A23" s="8" t="s">
        <v>137</v>
      </c>
      <c r="B23" t="s">
        <v>129</v>
      </c>
      <c r="C23" t="s">
        <v>130</v>
      </c>
      <c r="D23" t="s">
        <v>131</v>
      </c>
      <c r="E23" t="s">
        <v>135</v>
      </c>
      <c r="F23" t="s">
        <v>134</v>
      </c>
      <c r="G23" t="s">
        <v>133</v>
      </c>
      <c r="H23" t="s">
        <v>132</v>
      </c>
      <c r="I23" t="s">
        <v>136</v>
      </c>
      <c r="J23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sheetData>
    <row r="1" spans="1:1" x14ac:dyDescent="0.25">
      <c r="A1" s="9" t="s">
        <v>138</v>
      </c>
    </row>
    <row r="2" spans="1:10" x14ac:dyDescent="0.25">
      <c r="A2" s="6" t="s">
        <v>0</v>
      </c>
      <c r="B2" s="6" t="s">
        <v>129</v>
      </c>
      <c r="C2" s="6" t="s">
        <v>130</v>
      </c>
      <c r="D2" s="6" t="s">
        <v>131</v>
      </c>
      <c r="E2" s="6" t="s">
        <v>135</v>
      </c>
      <c r="F2" s="6" t="s">
        <v>134</v>
      </c>
      <c r="G2" s="6" t="s">
        <v>133</v>
      </c>
      <c r="H2" s="6" t="s">
        <v>132</v>
      </c>
      <c r="I2" s="6" t="s">
        <v>136</v>
      </c>
      <c r="J2" s="6" t="s">
        <v>25</v>
      </c>
    </row>
    <row r="3" spans="1:10" x14ac:dyDescent="0.25">
      <c r="A3" t="s">
        <v>4</v>
      </c>
      <c r="B3" s="10">
        <f>SUMIFS('収支データ'!$D$2:$D$188,'収支データ'!$F$2:$F$188,$A3,'収支データ'!$G$2:$G$188,B$2,'収支データ'!$H$2:$H$188,TRUE)</f>
      </c>
      <c r="C3" s="10">
        <f>SUMIFS('収支データ'!$D$2:$D$188,'収支データ'!$F$2:$F$188,$A3,'収支データ'!$G$2:$G$188,C$2,'収支データ'!$H$2:$H$188,TRUE)</f>
      </c>
      <c r="D3" s="10">
        <f>SUMIFS('収支データ'!$D$2:$D$188,'収支データ'!$F$2:$F$188,$A3,'収支データ'!$G$2:$G$188,D$2,'収支データ'!$H$2:$H$188,TRUE)</f>
      </c>
      <c r="E3" s="10">
        <f>SUMIFS('収支データ'!$D$2:$D$188,'収支データ'!$F$2:$F$188,$A3,'収支データ'!$G$2:$G$188,E$2,'収支データ'!$H$2:$H$188,TRUE)</f>
      </c>
      <c r="F3" s="10">
        <f>SUMIFS('収支データ'!$D$2:$D$188,'収支データ'!$F$2:$F$188,$A3,'収支データ'!$G$2:$G$188,F$2,'収支データ'!$H$2:$H$188,TRUE)</f>
      </c>
      <c r="G3" s="10">
        <f>SUMIFS('収支データ'!$D$2:$D$188,'収支データ'!$F$2:$F$188,$A3,'収支データ'!$G$2:$G$188,G$2,'収支データ'!$H$2:$H$188,TRUE)</f>
      </c>
      <c r="H3" s="10">
        <f>SUMIFS('収支データ'!$D$2:$D$188,'収支データ'!$F$2:$F$188,$A3,'収支データ'!$G$2:$G$188,H$2,'収支データ'!$H$2:$H$188,TRUE)</f>
      </c>
      <c r="I3" s="10">
        <f>SUMIFS('収支データ'!$D$2:$D$188,'収支データ'!$F$2:$F$188,$A3,'収支データ'!$G$2:$G$188,I$2,'収支データ'!$H$2:$H$188,TRUE)</f>
      </c>
      <c r="J3" s="10">
        <f>SUMIFS('収支データ'!$D$2:$D$188,'収支データ'!$F$2:$F$188,$A3,'収支データ'!$G$2:$G$188,J$2,'収支データ'!$H$2:$H$188,TRUE)</f>
      </c>
    </row>
    <row r="5" spans="1:1" x14ac:dyDescent="0.25">
      <c r="A5" s="9" t="s">
        <v>139</v>
      </c>
    </row>
    <row r="6" spans="1:21" x14ac:dyDescent="0.25">
      <c r="A6" s="6" t="s">
        <v>0</v>
      </c>
      <c r="B6" s="6" t="s">
        <v>13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23</v>
      </c>
      <c r="I6" s="6" t="s">
        <v>24</v>
      </c>
      <c r="J6" s="6" t="s">
        <v>25</v>
      </c>
      <c r="K6" s="6" t="s">
        <v>27</v>
      </c>
      <c r="L6" s="6" t="s">
        <v>29</v>
      </c>
      <c r="M6" s="6" t="s">
        <v>34</v>
      </c>
      <c r="N6" s="6" t="s">
        <v>40</v>
      </c>
      <c r="O6" s="6" t="s">
        <v>45</v>
      </c>
      <c r="P6" s="6" t="s">
        <v>53</v>
      </c>
      <c r="Q6" s="6" t="s">
        <v>57</v>
      </c>
      <c r="R6" s="6" t="s">
        <v>72</v>
      </c>
      <c r="S6" s="6" t="s">
        <v>75</v>
      </c>
      <c r="T6" s="6" t="s">
        <v>81</v>
      </c>
      <c r="U6" s="6" t="s">
        <v>83</v>
      </c>
    </row>
    <row r="7" spans="1:21" x14ac:dyDescent="0.25">
      <c r="A7" t="s">
        <v>4</v>
      </c>
      <c r="B7" s="10">
        <f>SUMIFS('収支データ'!$D$2:$D$188,'収支データ'!$F$2:$F$188,$A7,'収支データ'!$C$2:$C$188,B$6,'収支データ'!$H$2:$H$188,TRUE)</f>
      </c>
      <c r="C7" s="10">
        <f>SUMIFS('収支データ'!$D$2:$D$188,'収支データ'!$F$2:$F$188,$A7,'収支データ'!$C$2:$C$188,C$6,'収支データ'!$H$2:$H$188,TRUE)</f>
      </c>
      <c r="D7" s="10">
        <f>SUMIFS('収支データ'!$D$2:$D$188,'収支データ'!$F$2:$F$188,$A7,'収支データ'!$C$2:$C$188,D$6,'収支データ'!$H$2:$H$188,TRUE)</f>
      </c>
      <c r="E7" s="10">
        <f>SUMIFS('収支データ'!$D$2:$D$188,'収支データ'!$F$2:$F$188,$A7,'収支データ'!$C$2:$C$188,E$6,'収支データ'!$H$2:$H$188,TRUE)</f>
      </c>
      <c r="F7" s="10">
        <f>SUMIFS('収支データ'!$D$2:$D$188,'収支データ'!$F$2:$F$188,$A7,'収支データ'!$C$2:$C$188,F$6,'収支データ'!$H$2:$H$188,TRUE)</f>
      </c>
      <c r="G7" s="10">
        <f>SUMIFS('収支データ'!$D$2:$D$188,'収支データ'!$F$2:$F$188,$A7,'収支データ'!$C$2:$C$188,G$6,'収支データ'!$H$2:$H$188,TRUE)</f>
      </c>
      <c r="H7" s="10">
        <f>SUMIFS('収支データ'!$D$2:$D$188,'収支データ'!$F$2:$F$188,$A7,'収支データ'!$C$2:$C$188,H$6,'収支データ'!$H$2:$H$188,TRUE)</f>
      </c>
      <c r="I7" s="10">
        <f>SUMIFS('収支データ'!$D$2:$D$188,'収支データ'!$F$2:$F$188,$A7,'収支データ'!$C$2:$C$188,I$6,'収支データ'!$H$2:$H$188,TRUE)</f>
      </c>
      <c r="J7" s="10">
        <f>SUMIFS('収支データ'!$D$2:$D$188,'収支データ'!$F$2:$F$188,$A7,'収支データ'!$C$2:$C$188,J$6,'収支データ'!$H$2:$H$188,TRUE)</f>
      </c>
      <c r="K7" s="10">
        <f>SUMIFS('収支データ'!$D$2:$D$188,'収支データ'!$F$2:$F$188,$A7,'収支データ'!$C$2:$C$188,K$6,'収支データ'!$H$2:$H$188,TRUE)</f>
      </c>
      <c r="L7" s="10">
        <f>SUMIFS('収支データ'!$D$2:$D$188,'収支データ'!$F$2:$F$188,$A7,'収支データ'!$C$2:$C$188,L$6,'収支データ'!$H$2:$H$188,TRUE)</f>
      </c>
      <c r="M7" s="10">
        <f>SUMIFS('収支データ'!$D$2:$D$188,'収支データ'!$F$2:$F$188,$A7,'収支データ'!$C$2:$C$188,M$6,'収支データ'!$H$2:$H$188,TRUE)</f>
      </c>
      <c r="N7" s="10">
        <f>SUMIFS('収支データ'!$D$2:$D$188,'収支データ'!$F$2:$F$188,$A7,'収支データ'!$C$2:$C$188,N$6,'収支データ'!$H$2:$H$188,TRUE)</f>
      </c>
      <c r="O7" s="10">
        <f>SUMIFS('収支データ'!$D$2:$D$188,'収支データ'!$F$2:$F$188,$A7,'収支データ'!$C$2:$C$188,O$6,'収支データ'!$H$2:$H$188,TRUE)</f>
      </c>
      <c r="P7" s="10">
        <f>SUMIFS('収支データ'!$D$2:$D$188,'収支データ'!$F$2:$F$188,$A7,'収支データ'!$C$2:$C$188,P$6,'収支データ'!$H$2:$H$188,TRUE)</f>
      </c>
      <c r="Q7" s="10">
        <f>SUMIFS('収支データ'!$D$2:$D$188,'収支データ'!$F$2:$F$188,$A7,'収支データ'!$C$2:$C$188,Q$6,'収支データ'!$H$2:$H$188,TRUE)</f>
      </c>
      <c r="R7" s="10">
        <f>SUMIFS('収支データ'!$D$2:$D$188,'収支データ'!$F$2:$F$188,$A7,'収支データ'!$C$2:$C$188,R$6,'収支データ'!$H$2:$H$188,TRUE)</f>
      </c>
      <c r="S7" s="10">
        <f>SUMIFS('収支データ'!$D$2:$D$188,'収支データ'!$F$2:$F$188,$A7,'収支データ'!$C$2:$C$188,S$6,'収支データ'!$H$2:$H$188,TRUE)</f>
      </c>
      <c r="T7" s="10">
        <f>SUMIFS('収支データ'!$D$2:$D$188,'収支データ'!$F$2:$F$188,$A7,'収支データ'!$C$2:$C$188,T$6,'収支データ'!$H$2:$H$188,TRUE)</f>
      </c>
      <c r="U7" s="10">
        <f>SUMIFS('収支データ'!$D$2:$D$188,'収支データ'!$F$2:$F$188,$A7,'収支データ'!$C$2:$C$188,U$6,'収支データ'!$H$2:$H$188,TRUE)</f>
      </c>
    </row>
    <row r="9" spans="1:1" x14ac:dyDescent="0.25">
      <c r="A9" s="9" t="s">
        <v>140</v>
      </c>
    </row>
    <row r="10" spans="1:5" x14ac:dyDescent="0.25">
      <c r="A10" s="6" t="s">
        <v>10</v>
      </c>
      <c r="B10" s="6" t="s">
        <v>141</v>
      </c>
      <c r="C10" s="6"/>
      <c r="D10" s="6" t="s">
        <v>127</v>
      </c>
      <c r="E10" s="6" t="s">
        <v>141</v>
      </c>
    </row>
    <row r="11" spans="1:5" x14ac:dyDescent="0.25">
      <c r="A11" t="s">
        <v>129</v>
      </c>
      <c r="B11" s="2">
        <f>SUM(B3:B3)</f>
      </c>
      <c r="D11" t="s">
        <v>13</v>
      </c>
      <c r="E11" s="2">
        <f>SUM(B7:B7)</f>
      </c>
    </row>
    <row r="12" spans="1:5" x14ac:dyDescent="0.25">
      <c r="A12" t="s">
        <v>130</v>
      </c>
      <c r="B12" s="2">
        <f>SUM(C3:C3)</f>
      </c>
      <c r="D12" t="s">
        <v>15</v>
      </c>
      <c r="E12" s="2">
        <f>SUM(C7:C7)</f>
      </c>
    </row>
    <row r="13" spans="1:5" x14ac:dyDescent="0.25">
      <c r="A13" t="s">
        <v>131</v>
      </c>
      <c r="B13" s="2">
        <f>SUM(D3:D3)</f>
      </c>
      <c r="D13" t="s">
        <v>16</v>
      </c>
      <c r="E13" s="2">
        <f>SUM(D7:D7)</f>
      </c>
    </row>
    <row r="14" spans="1:5" x14ac:dyDescent="0.25">
      <c r="A14" t="s">
        <v>135</v>
      </c>
      <c r="B14" s="2">
        <f>SUM(E3:E3)</f>
      </c>
      <c r="D14" t="s">
        <v>17</v>
      </c>
      <c r="E14" s="2">
        <f>SUM(E7:E7)</f>
      </c>
    </row>
    <row r="15" spans="1:5" x14ac:dyDescent="0.25">
      <c r="A15" t="s">
        <v>134</v>
      </c>
      <c r="B15" s="2">
        <f>SUM(F3:F3)</f>
      </c>
      <c r="D15" t="s">
        <v>18</v>
      </c>
      <c r="E15" s="2">
        <f>SUM(F7:F7)</f>
      </c>
    </row>
    <row r="16" spans="1:5" x14ac:dyDescent="0.25">
      <c r="A16" t="s">
        <v>133</v>
      </c>
      <c r="B16" s="2">
        <f>SUM(G3:G3)</f>
      </c>
      <c r="D16" t="s">
        <v>19</v>
      </c>
      <c r="E16" s="2">
        <f>SUM(G7:G7)</f>
      </c>
    </row>
    <row r="17" spans="1:5" x14ac:dyDescent="0.25">
      <c r="A17" t="s">
        <v>132</v>
      </c>
      <c r="B17" s="2">
        <f>SUM(H3:H3)</f>
      </c>
      <c r="D17" t="s">
        <v>23</v>
      </c>
      <c r="E17" s="2">
        <f>SUM(H7:H7)</f>
      </c>
    </row>
    <row r="18" spans="1:5" x14ac:dyDescent="0.25">
      <c r="A18" t="s">
        <v>136</v>
      </c>
      <c r="B18" s="2">
        <f>SUM(I3:I3)</f>
      </c>
      <c r="D18" t="s">
        <v>24</v>
      </c>
      <c r="E18" s="2">
        <f>SUM(I7:I7)</f>
      </c>
    </row>
    <row r="19" spans="1:5" x14ac:dyDescent="0.25">
      <c r="A19" t="s">
        <v>25</v>
      </c>
      <c r="B19" s="2">
        <f>SUM(J3:J3)</f>
      </c>
      <c r="D19" t="s">
        <v>25</v>
      </c>
      <c r="E19" s="2">
        <f>SUM(J7:J7)</f>
      </c>
    </row>
    <row r="20" spans="4:5" x14ac:dyDescent="0.25">
      <c r="D20" t="s">
        <v>27</v>
      </c>
      <c r="E20" s="2">
        <f>SUM(K7:K7)</f>
      </c>
    </row>
    <row r="21" spans="4:5" x14ac:dyDescent="0.25">
      <c r="D21" t="s">
        <v>29</v>
      </c>
      <c r="E21" s="2">
        <f>SUM(L7:L7)</f>
      </c>
    </row>
    <row r="22" spans="4:5" x14ac:dyDescent="0.25">
      <c r="D22" t="s">
        <v>34</v>
      </c>
      <c r="E22" s="2">
        <f>SUM(M7:M7)</f>
      </c>
    </row>
    <row r="23" spans="4:5" x14ac:dyDescent="0.25">
      <c r="D23" t="s">
        <v>40</v>
      </c>
      <c r="E23" s="2">
        <f>SUM(N7:N7)</f>
      </c>
    </row>
    <row r="24" spans="4:5" x14ac:dyDescent="0.25">
      <c r="D24" t="s">
        <v>45</v>
      </c>
      <c r="E24" s="2">
        <f>SUM(O7:O7)</f>
      </c>
    </row>
    <row r="25" spans="4:5" x14ac:dyDescent="0.25">
      <c r="D25" t="s">
        <v>53</v>
      </c>
      <c r="E25" s="2">
        <f>SUM(P7:P7)</f>
      </c>
    </row>
    <row r="26" spans="4:5" x14ac:dyDescent="0.25">
      <c r="D26" t="s">
        <v>57</v>
      </c>
      <c r="E26" s="2">
        <f>SUM(Q7:Q7)</f>
      </c>
    </row>
    <row r="27" spans="4:5" x14ac:dyDescent="0.25">
      <c r="D27" t="s">
        <v>72</v>
      </c>
      <c r="E27" s="2">
        <f>SUM(R7:R7)</f>
      </c>
    </row>
    <row r="28" spans="4:5" x14ac:dyDescent="0.25">
      <c r="D28" t="s">
        <v>75</v>
      </c>
      <c r="E28" s="2">
        <f>SUM(S7:S7)</f>
      </c>
    </row>
    <row r="29" spans="4:5" x14ac:dyDescent="0.25">
      <c r="D29" t="s">
        <v>81</v>
      </c>
      <c r="E29" s="2">
        <f>SUM(T7:T7)</f>
      </c>
    </row>
    <row r="30" spans="4:5" x14ac:dyDescent="0.25">
      <c r="D30" t="s">
        <v>83</v>
      </c>
      <c r="E30" s="2">
        <f>SUM(U7:U7)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1" t="s">
        <v>142</v>
      </c>
    </row>
    <row r="2" spans="1:1" x14ac:dyDescent="0.25">
      <c r="A2" s="1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月別サマリー</vt:lpstr>
      <vt:lpstr>収支データ</vt:lpstr>
      <vt:lpstr>予算</vt:lpstr>
      <vt:lpstr>預金口座</vt:lpstr>
      <vt:lpstr>口座明細</vt:lpstr>
      <vt:lpstr>設定</vt:lpstr>
      <vt:lpstr>集計</vt:lpstr>
      <vt:lpstr>グラフ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MyKakeibo</dc:creator>
  <dc:title/>
  <dc:subject/>
  <dc:description/>
  <cp:keywords/>
  <cp:category/>
  <cp:lastModifiedBy>Unknown</cp:lastModifiedBy>
  <dcterms:created xsi:type="dcterms:W3CDTF">2026-09-05T05:16:20Z</dcterms:created>
  <dcterms:modified xsi:type="dcterms:W3CDTF">2026-09-05T05:16:20Z</dcterms:modified>
</cp:coreProperties>
</file>